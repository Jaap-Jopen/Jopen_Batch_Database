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Recept-voorblad" sheetId="1" state="visible" r:id="rId1"/>
    <sheet xmlns:r="http://schemas.openxmlformats.org/officeDocument/2006/relationships" name="Brouwen" sheetId="2" state="visible" r:id="rId2"/>
    <sheet xmlns:r="http://schemas.openxmlformats.org/officeDocument/2006/relationships" name="Gistkaart Invoer" sheetId="3" state="visible" r:id="rId3"/>
    <sheet xmlns:r="http://schemas.openxmlformats.org/officeDocument/2006/relationships" name="Verwerking" sheetId="4" state="visible" r:id="rId4"/>
    <sheet xmlns:r="http://schemas.openxmlformats.org/officeDocument/2006/relationships" name="Afvullen" sheetId="5" state="visible" r:id="rId5"/>
    <sheet xmlns:r="http://schemas.openxmlformats.org/officeDocument/2006/relationships" name="Afvulverslag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'Recept-voorblad'!$A$1:$P$105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09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7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>Receptuur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>Naam bier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>Batch nr.: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>Naam Brouwerij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>Bier stijl</t>
        </is>
      </c>
      <c r="B7" s="1076" t="n"/>
      <c r="C7" s="1101" t="n"/>
      <c r="D7" s="1076" t="n"/>
      <c r="E7" s="1102" t="inlineStr">
        <is>
          <t>Aantal brouwsels</t>
        </is>
      </c>
      <c r="F7" s="1076" t="n"/>
      <c r="G7" s="1103" t="n">
        <v>1</v>
      </c>
      <c r="H7" s="1104" t="inlineStr">
        <is>
          <t>Datum orderpicken:</t>
        </is>
      </c>
      <c r="I7" s="1075" t="n"/>
      <c r="J7" s="1076" t="n"/>
      <c r="K7" s="1105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>Brouwsel (hl)</t>
        </is>
      </c>
      <c r="B9" s="1076" t="n"/>
      <c r="C9" s="1110" t="n"/>
      <c r="D9" s="1076" t="n"/>
      <c r="E9" s="1111">
        <f>IF(LEFT(Q1,2)="WP", "Kamers mashfilter","walsenmolen")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>Eindproduct specificaties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>Spec,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>Spec,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>Origineel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>Troebeling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>Rest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>CO2 fles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>Bitterheid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>CO2 fust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>Kleur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>Bier risico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>Process paramaters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>Spec,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>Spec,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Temp,","Wort koeling temp,")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>Vergistingstijd</t>
        </is>
      </c>
      <c r="H21" s="1075" t="n"/>
      <c r="I21" s="1075" t="n"/>
      <c r="J21" s="1076" t="n"/>
      <c r="K21" s="1120" t="inlineStr">
        <is>
          <t>dagen</t>
        </is>
      </c>
      <c r="L21" s="1151" t="n"/>
      <c r="M21" s="1124" t="n"/>
      <c r="N21" s="1137" t="inlineStr">
        <is>
          <t>Bier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 </t>
        </is>
      </c>
      <c r="D22" s="1126" t="inlineStr">
        <is>
          <t>°C</t>
        </is>
      </c>
      <c r="E22" s="1121" t="n"/>
      <c r="F22" s="1127" t="n"/>
      <c r="G22" s="1136" t="inlineStr">
        <is>
          <t>Lagertijd</t>
        </is>
      </c>
      <c r="H22" s="1136" t="n"/>
      <c r="I22" s="1136" t="n"/>
      <c r="J22" s="1128" t="n"/>
      <c r="K22" s="1126" t="inlineStr">
        <is>
          <t>dagen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>T release,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>Lager temp,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>Temp, Dry, Warm,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>Pasteurisatie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>Extract dry, Warm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>Troebeling na Sep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>Extract dry, Warm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>Bitterheid BH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>Extract dry, Warm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>Soort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>Lotnummer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>Totaal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>Totaal: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>Berekende kleur: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>Soort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>Kooktijd</t>
        </is>
      </c>
      <c r="H42" s="1083" t="n"/>
      <c r="I42" s="1218" t="inlineStr">
        <is>
          <t>Rendement</t>
        </is>
      </c>
      <c r="J42" s="1115" t="n"/>
      <c r="K42" s="1219" t="inlineStr">
        <is>
          <t xml:space="preserve">EBU </t>
        </is>
      </c>
      <c r="L42" s="1082" t="inlineStr">
        <is>
          <t>Lotnummer</t>
        </is>
      </c>
      <c r="M42" s="1080" t="n"/>
      <c r="N42" s="1080" t="n"/>
      <c r="O42" s="1081" t="n"/>
      <c r="P42" s="1220" t="inlineStr">
        <is>
          <t>Totaal gram: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IFERROR(IF(E43="-","",(E43*1000)*(D43/100)*(I43/100)/(IF(Brouwen!$F$16*100="-",$C$9*100,Brouwen!$F$16*100))),"")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IFERROR(IF(E44="-","",(E44*1000)*(D44/100)*(I44/100)/(IF(Brouwen!$F$16*100="-",$C$9*100,Brouwen!$F$16*100))),"")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IFERROR(IF(E45="-","",(E45*1000)*(D45/100)*(I45/100)/(IF(Brouwen!$F$16*100="-",$C$9*100,Brouwen!$F$16*100))),"")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IFERROR(IF(E46="-","",(E46*1000)*(D46/100)*(I46/100)/(IF(Brouwen!$F$16*100="-",$C$9*100,Brouwen!$F$16*100))),"")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IFERROR(IF(E47="-","",(E47*1000)*(D47/100)*(I47/100)/(IF(Brouwen!$F$16*100="-",$C$9*100,Brouwen!$F$16*100))),"")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IFERROR(IF(E48="-","",(E48*1000)*(D48/100)*(I48/100)/(IF(Brouwen!$F$16*100="-",$C$9*100,Brouwen!$F$16*100))),"")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IFERROR(IF(E49="-","",(E49*1000)*(D49/100)*(I49/100)/(IF(Brouwen!$F$16*100="-",$C$9*100,Brouwen!$F$16*100))),"")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IFERROR(IF(E50="-","",(E50*1000)*(D50/100)*(I50/100)/(IF(Brouwen!$F$16*100="-",$C$9*100,Brouwen!$F$16*100))),"")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IFERROR(IF(E51="-","",(E51*1000)*(D51/100)*(I51/100)/(IF(Brouwen!$F$16*100="-",$C$9*100,Brouwen!$F$16*100))),"")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IFERROR(IF(E52="-","",(E52*1000)*(D52/100)*(I52/100)/(IF(Brouwen!$F$16*100="-",$C$9*100,Brouwen!$F$16*100))),"")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IFERROR(IF(E53="-","",(E53*1000)*(D53/100)*(I53/100)/(IF(Brouwen!$F$16*100="-",$C$9*100,Brouwen!$F$16*100))),"")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IFERROR(IF(E54="-","",(E54*1000)*(D54/100)*(I54/100)/(IF(Brouwen!$F$16*100="-",$C$9*100,Brouwen!$F$16*100))),"")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IFERROR(IF(E55="-","",(E55*1000)*(D55/100)*(I55/100)/(IF(Brouwen!$F$16*100="-",$C$9*100,Brouwen!$F$16*100))),"")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IFERROR(IF(E56="-","",(E56*1000)*(D56/100)*(I56/100)/(IF(Brouwen!$F$16*100="-",$C$9*100,Brouwen!$F$16*100))),"")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IFERROR(IF(E57="-","",(E57*1000)*(D57/100)*(I57/100)/(IF(Brouwen!$F$16*100="-",$C$9*100,Brouwen!$F$16*100))),"")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IF(G58="warm",SUMIF(G58:I60,"warm",E58:F60)/($C$9*100),SUMIF(G58:I60,"16C",E58:F60)/($C$9*100))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IF(G61="warm",SUMIF(G61:I63,"warm",E61:F63)/($C$9*100),SUMIF(G61:I63,"16C",E61:F63)/($C$9*100))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>Totale bitterheid: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>Totaal kg hop: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>Hop totaal gewicht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>Hop soort</t>
        </is>
      </c>
      <c r="B66" s="1075" t="n"/>
      <c r="C66" s="1075" t="n"/>
      <c r="D66" s="1076" t="n"/>
      <c r="E66" s="1276" t="inlineStr">
        <is>
          <t>Totaal gram</t>
        </is>
      </c>
      <c r="F66" s="1075" t="n"/>
      <c r="G66" s="1075" t="n"/>
      <c r="H66" s="1076" t="n"/>
      <c r="I66" s="1276" t="inlineStr">
        <is>
          <t>Hop soort</t>
        </is>
      </c>
      <c r="J66" s="1075" t="n"/>
      <c r="K66" s="1075" t="n"/>
      <c r="L66" s="1076" t="n"/>
      <c r="M66" s="1276" t="inlineStr">
        <is>
          <t>Totaal gram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  <v/>
      </c>
      <c r="B67" s="1278" t="n"/>
      <c r="C67" s="1278" t="n"/>
      <c r="D67" s="1279" t="n"/>
      <c r="E67" s="1280">
        <f>IF(A67="","",SUMIF($A$43:$A$63,A67,$P$43:$P$63))</f>
        <v/>
      </c>
      <c r="F67" s="1223" t="n"/>
      <c r="G67" s="1223" t="n"/>
      <c r="H67" s="1224" t="n"/>
      <c r="I67" s="1281">
        <f>IFERROR(INDEX(_xlfn.UNIQUE(_xlfn._xlws.FILTER($A$43:$A$63,$A$43:$A$63&lt;&gt;"")),5),"")</f>
        <v/>
      </c>
      <c r="J67" s="1223" t="n"/>
      <c r="K67" s="1223" t="n"/>
      <c r="L67" s="1224" t="n"/>
      <c r="M67" s="1243">
        <f>IF(I67="","",SUMIF($A$43:$A$63,I67,$P$43:$P$63))</f>
        <v/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  <v/>
      </c>
      <c r="B68" s="1177" t="n"/>
      <c r="C68" s="1177" t="n"/>
      <c r="D68" s="1178" t="n"/>
      <c r="E68" s="1232">
        <f>IF(A68="","",SUMIF($A$43:$A$64,A68,$P$43:$P$64))</f>
        <v/>
      </c>
      <c r="F68" s="1245" t="n"/>
      <c r="G68" s="1245" t="n"/>
      <c r="H68" s="1227" t="n"/>
      <c r="I68" s="1282">
        <f>IFERROR(INDEX(_xlfn.UNIQUE(_xlfn._xlws.FILTER($A$43:$A$63,$A$43:$A$63&lt;&gt;"")),6),"")</f>
        <v/>
      </c>
      <c r="J68" s="1177" t="n"/>
      <c r="K68" s="1177" t="n"/>
      <c r="L68" s="1178" t="n"/>
      <c r="M68" s="1232">
        <f>IF(I68="","",SUMIF($A$43:$A$63,I68,$P$43:$P$63))</f>
        <v/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  <v/>
      </c>
      <c r="B69" s="1177" t="n"/>
      <c r="C69" s="1177" t="n"/>
      <c r="D69" s="1178" t="n"/>
      <c r="E69" s="1232">
        <f>IF(A69="","",SUMIF($A$43:$A$63,A69,$P$43:$P$63))</f>
        <v/>
      </c>
      <c r="F69" s="1245" t="n"/>
      <c r="G69" s="1245" t="n"/>
      <c r="H69" s="1227" t="n"/>
      <c r="I69" s="1282">
        <f>IFERROR(INDEX(_xlfn.UNIQUE(_xlfn._xlws.FILTER($A$43:$A$63,$A$43:$A$63&lt;&gt;"")),7),"")</f>
        <v/>
      </c>
      <c r="J69" s="1177" t="n"/>
      <c r="K69" s="1177" t="n"/>
      <c r="L69" s="1178" t="n"/>
      <c r="M69" s="1232">
        <f>IF(I69="","",SUMIF($A$43:$A$63,I69,$P$43:$P$63))</f>
        <v/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  <v/>
      </c>
      <c r="B70" s="1198" t="n"/>
      <c r="C70" s="1198" t="n"/>
      <c r="D70" s="1199" t="n"/>
      <c r="E70" s="1243">
        <f>IF(A70="","",SUMIF($A$43:$A$63,A70,$P$43:$P$63))</f>
        <v/>
      </c>
      <c r="F70" s="1198" t="n"/>
      <c r="G70" s="1198" t="n"/>
      <c r="H70" s="1199" t="n"/>
      <c r="I70" s="1283">
        <f>IFERROR(INDEX(_xlfn.UNIQUE(_xlfn._xlws.FILTER($A$43:$A$63,$A$43:$A$63&lt;&gt;"")),8),"")</f>
        <v/>
      </c>
      <c r="J70" s="1198" t="n"/>
      <c r="K70" s="1198" t="n"/>
      <c r="L70" s="1199" t="n"/>
      <c r="M70" s="1243">
        <f>IF(I70="","",SUMIF($A$43:$A$63,I70,$P$43:$P$63))</f>
        <v/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8.75" customFormat="1" customHeight="1" s="1221">
      <c r="A71" s="1284" t="inlineStr">
        <is>
          <t>Additions Brewers</t>
        </is>
      </c>
      <c r="B71" s="1080" t="n"/>
      <c r="C71" s="1080" t="n"/>
      <c r="D71" s="1080" t="n"/>
      <c r="E71" s="1080" t="n"/>
      <c r="F71" s="1080" t="n"/>
      <c r="G71" s="1080" t="n"/>
      <c r="H71" s="1080" t="n"/>
      <c r="I71" s="1080" t="n"/>
      <c r="J71" s="1080" t="n"/>
      <c r="K71" s="1080" t="n"/>
      <c r="L71" s="1080" t="n"/>
      <c r="M71" s="1080" t="n"/>
      <c r="N71" s="1080" t="n"/>
      <c r="O71" s="1080" t="n"/>
      <c r="P71" s="1081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5" t="inlineStr">
        <is>
          <t>Soort</t>
        </is>
      </c>
      <c r="B72" s="1114" t="n"/>
      <c r="C72" s="1114" t="n"/>
      <c r="D72" s="1115" t="n"/>
      <c r="E72" s="1286" t="inlineStr">
        <is>
          <t>Hoeveelheid</t>
        </is>
      </c>
      <c r="F72" s="1114" t="n"/>
      <c r="G72" s="1114" t="n"/>
      <c r="H72" s="1114" t="n"/>
      <c r="I72" s="1287" t="inlineStr">
        <is>
          <t>Wanneer</t>
        </is>
      </c>
      <c r="J72" s="1114" t="n"/>
      <c r="K72" s="1115" t="n"/>
      <c r="L72" s="1288" t="inlineStr">
        <is>
          <t>Lotnummer</t>
        </is>
      </c>
      <c r="M72" s="1080" t="n"/>
      <c r="N72" s="1080" t="n"/>
      <c r="O72" s="1080" t="n"/>
      <c r="P72" s="1081" t="n"/>
      <c r="Q72" s="1138" t="n"/>
      <c r="R72" s="1139" t="n"/>
      <c r="S72" s="1139" t="n"/>
      <c r="T72" s="1139" t="n"/>
      <c r="U72" s="1188" t="n"/>
    </row>
    <row r="73" ht="17.25" customFormat="1" customHeight="1" s="1221">
      <c r="A73" s="1289" t="n"/>
      <c r="B73" s="1177" t="n"/>
      <c r="C73" s="1177" t="n"/>
      <c r="D73" s="1178" t="n"/>
      <c r="E73" s="1290" t="n"/>
      <c r="F73" s="1177" t="n"/>
      <c r="G73" s="1177" t="n"/>
      <c r="H73" s="1177" t="n"/>
      <c r="I73" s="1291" t="n"/>
      <c r="J73" s="1223" t="n"/>
      <c r="K73" s="1224" t="n"/>
      <c r="L73" s="1292" t="n"/>
      <c r="M73" s="1177" t="n"/>
      <c r="N73" s="1177" t="n"/>
      <c r="O73" s="1177" t="n"/>
      <c r="P73" s="1178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9" t="n"/>
      <c r="B74" s="1177" t="n"/>
      <c r="C74" s="1177" t="n"/>
      <c r="D74" s="1178" t="n"/>
      <c r="E74" s="1293" t="n"/>
      <c r="F74" s="1177" t="n"/>
      <c r="G74" s="1177" t="n"/>
      <c r="H74" s="1178" t="n"/>
      <c r="I74" s="1289" t="n"/>
      <c r="J74" s="1177" t="n"/>
      <c r="K74" s="1178" t="n"/>
      <c r="L74" s="1292" t="n"/>
      <c r="M74" s="1177" t="n"/>
      <c r="N74" s="1177" t="n"/>
      <c r="O74" s="1177" t="n"/>
      <c r="P74" s="1178" t="n"/>
      <c r="Q74" s="1138" t="n"/>
      <c r="R74" s="1139" t="n"/>
      <c r="S74" s="1139" t="n"/>
      <c r="T74" s="1139" t="n"/>
      <c r="U74" s="1188" t="n"/>
    </row>
    <row r="75" ht="15" customFormat="1" customHeight="1" s="1221">
      <c r="A75" s="1289" t="n"/>
      <c r="B75" s="1177" t="n"/>
      <c r="C75" s="1177" t="n"/>
      <c r="D75" s="1178" t="n"/>
      <c r="E75" s="1293" t="n"/>
      <c r="F75" s="1177" t="n"/>
      <c r="G75" s="1177" t="n"/>
      <c r="H75" s="1178" t="n"/>
      <c r="I75" s="1289" t="n"/>
      <c r="J75" s="1177" t="n"/>
      <c r="K75" s="1178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4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3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5" t="n"/>
      <c r="F82" s="1198" t="n"/>
      <c r="G82" s="1198" t="n"/>
      <c r="H82" s="1199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.75" customFormat="1" customHeight="1" s="1221">
      <c r="A83" s="1215" t="inlineStr">
        <is>
          <t>Dry yeast</t>
        </is>
      </c>
      <c r="B83" s="1114" t="n"/>
      <c r="C83" s="1114" t="n"/>
      <c r="D83" s="1114" t="n"/>
      <c r="E83" s="1114" t="n"/>
      <c r="F83" s="1114" t="n"/>
      <c r="G83" s="1114" t="n"/>
      <c r="H83" s="1114" t="n"/>
      <c r="I83" s="1114" t="n"/>
      <c r="J83" s="1114" t="n"/>
      <c r="K83" s="1114" t="n"/>
      <c r="L83" s="1114" t="n"/>
      <c r="M83" s="1114" t="n"/>
      <c r="N83" s="1114" t="n"/>
      <c r="O83" s="1114" t="n"/>
      <c r="P83" s="1115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96" t="inlineStr">
        <is>
          <t>Soort</t>
        </is>
      </c>
      <c r="B84" s="1114" t="n"/>
      <c r="C84" s="1114" t="n"/>
      <c r="D84" s="1114" t="n"/>
      <c r="E84" s="1114" t="n"/>
      <c r="F84" s="1297" t="inlineStr">
        <is>
          <t>Brews/1st day</t>
        </is>
      </c>
      <c r="G84" s="1298" t="inlineStr">
        <is>
          <t>Hoeveelheid per batch</t>
        </is>
      </c>
      <c r="H84" s="1114" t="n"/>
      <c r="I84" s="1114" t="n"/>
      <c r="J84" s="1114" t="n"/>
      <c r="K84" s="1115" t="n"/>
      <c r="L84" s="1299" t="inlineStr">
        <is>
          <t>Lotnummer</t>
        </is>
      </c>
      <c r="M84" s="1080" t="n"/>
      <c r="N84" s="1080" t="n"/>
      <c r="O84" s="1080" t="n"/>
      <c r="P84" s="1081" t="n"/>
      <c r="Q84" s="1138" t="n"/>
      <c r="R84" s="1139" t="n"/>
      <c r="S84" s="1139" t="n"/>
      <c r="T84" s="1139" t="n"/>
      <c r="U84" s="1188" t="n"/>
    </row>
    <row r="85" ht="15" customFormat="1" customHeight="1" s="1221">
      <c r="A85" s="1300" t="n"/>
      <c r="B85" s="1223" t="n"/>
      <c r="C85" s="1223" t="n"/>
      <c r="D85" s="1223" t="n"/>
      <c r="E85" s="1223" t="n"/>
      <c r="F85" s="1301" t="n">
        <v>1</v>
      </c>
      <c r="G85" s="1302" t="n"/>
      <c r="H85" s="1223" t="n"/>
      <c r="I85" s="1223" t="n"/>
      <c r="J85" s="1224" t="n"/>
      <c r="K85" s="1303" t="inlineStr">
        <is>
          <t>g</t>
        </is>
      </c>
      <c r="L85" s="1304" t="n"/>
      <c r="M85" s="1223" t="n"/>
      <c r="N85" s="1223" t="n"/>
      <c r="O85" s="1223" t="n"/>
      <c r="P85" s="1224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36" t="n"/>
      <c r="B86" s="1198" t="n"/>
      <c r="C86" s="1198" t="n"/>
      <c r="D86" s="1198" t="n"/>
      <c r="E86" s="1198" t="n"/>
      <c r="F86" s="1199" t="n"/>
      <c r="G86" s="1305" t="n"/>
      <c r="H86" s="1198" t="n"/>
      <c r="I86" s="1198" t="n"/>
      <c r="J86" s="1199" t="n"/>
      <c r="K86" s="1305" t="inlineStr">
        <is>
          <t>g</t>
        </is>
      </c>
      <c r="L86" s="1306" t="n"/>
      <c r="M86" s="1198" t="n"/>
      <c r="N86" s="1198" t="n"/>
      <c r="O86" s="1198" t="n"/>
      <c r="P86" s="1199" t="n"/>
      <c r="Q86" s="1138" t="n"/>
      <c r="R86" s="1139" t="n"/>
      <c r="S86" s="1139" t="n"/>
      <c r="T86" s="1139" t="n"/>
      <c r="U86" s="1188" t="n"/>
    </row>
    <row r="87" ht="18.75" customFormat="1" customHeight="1" s="1221">
      <c r="A87" s="1307" t="inlineStr">
        <is>
          <t>Additions Cellar</t>
        </is>
      </c>
      <c r="B87" s="1114" t="n"/>
      <c r="C87" s="1114" t="n"/>
      <c r="D87" s="1114" t="n"/>
      <c r="E87" s="1114" t="n"/>
      <c r="F87" s="1114" t="n"/>
      <c r="G87" s="1114" t="n"/>
      <c r="H87" s="1114" t="n"/>
      <c r="I87" s="1114" t="n"/>
      <c r="J87" s="1114" t="n"/>
      <c r="K87" s="1114" t="n"/>
      <c r="L87" s="1114" t="n"/>
      <c r="M87" s="1114" t="n"/>
      <c r="N87" s="1114" t="n"/>
      <c r="O87" s="1114" t="n"/>
      <c r="P87" s="1115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85" t="inlineStr">
        <is>
          <t>Type</t>
        </is>
      </c>
      <c r="B88" s="1114" t="n"/>
      <c r="C88" s="1114" t="n"/>
      <c r="D88" s="1115" t="n"/>
      <c r="E88" s="1286" t="inlineStr">
        <is>
          <t>Quantity</t>
        </is>
      </c>
      <c r="F88" s="1114" t="n"/>
      <c r="G88" s="1114" t="n"/>
      <c r="H88" s="1114" t="n"/>
      <c r="I88" s="1287" t="inlineStr">
        <is>
          <t>When</t>
        </is>
      </c>
      <c r="J88" s="1114" t="n"/>
      <c r="K88" s="1115" t="n"/>
      <c r="L88" s="1288" t="inlineStr">
        <is>
          <t>Lotnummer</t>
        </is>
      </c>
      <c r="M88" s="1080" t="n"/>
      <c r="N88" s="1080" t="n"/>
      <c r="O88" s="1080" t="n"/>
      <c r="P88" s="1081" t="n"/>
      <c r="Q88" s="1138" t="n"/>
      <c r="R88" s="1139" t="n"/>
      <c r="S88" s="1139" t="n"/>
      <c r="T88" s="1139" t="n"/>
      <c r="U88" s="1188" t="n"/>
    </row>
    <row r="89" ht="15" customFormat="1" customHeight="1" s="1221">
      <c r="A89" s="1289" t="n"/>
      <c r="B89" s="1177" t="n"/>
      <c r="C89" s="1177" t="n"/>
      <c r="D89" s="1178" t="n"/>
      <c r="E89" s="1308" t="n"/>
      <c r="F89" s="1177" t="n"/>
      <c r="G89" s="1177" t="n"/>
      <c r="H89" s="1177" t="n"/>
      <c r="I89" s="1291" t="n"/>
      <c r="J89" s="1223" t="n"/>
      <c r="K89" s="1224" t="n"/>
      <c r="L89" s="1309" t="n"/>
      <c r="M89" s="1223" t="n"/>
      <c r="N89" s="1223" t="n"/>
      <c r="O89" s="1223" t="n"/>
      <c r="P89" s="1224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9" t="n"/>
      <c r="B90" s="1177" t="n"/>
      <c r="C90" s="1177" t="n"/>
      <c r="D90" s="1178" t="n"/>
      <c r="E90" s="1308" t="n"/>
      <c r="F90" s="1177" t="n"/>
      <c r="G90" s="1177" t="n"/>
      <c r="H90" s="1177" t="n"/>
      <c r="I90" s="1289" t="n"/>
      <c r="J90" s="1177" t="n"/>
      <c r="K90" s="1178" t="n"/>
      <c r="L90" s="1292" t="n"/>
      <c r="M90" s="1177" t="n"/>
      <c r="N90" s="1177" t="n"/>
      <c r="O90" s="1177" t="n"/>
      <c r="P90" s="1178" t="n"/>
      <c r="Q90" s="1138" t="n"/>
      <c r="R90" s="1139" t="n"/>
      <c r="S90" s="1139" t="n"/>
      <c r="T90" s="1139" t="n"/>
      <c r="U90" s="1188" t="n"/>
    </row>
    <row r="91" ht="15" customFormat="1" customHeight="1" s="1310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89" t="n"/>
      <c r="J91" s="1177" t="n"/>
      <c r="K91" s="1178" t="n"/>
      <c r="L91" s="1292" t="n"/>
      <c r="M91" s="1177" t="n"/>
      <c r="N91" s="1177" t="n"/>
      <c r="O91" s="1177" t="n"/>
      <c r="P91" s="1178" t="n"/>
      <c r="Q91" s="1138" t="n"/>
      <c r="R91" s="1139" t="n"/>
      <c r="S91" s="1139" t="n"/>
      <c r="T91" s="1139" t="n"/>
      <c r="U91" s="1188" t="n"/>
    </row>
    <row r="92" ht="15" customFormat="1" customHeight="1" s="1310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311" t="n"/>
      <c r="J93" s="1198" t="n"/>
      <c r="K93" s="1199" t="n"/>
      <c r="L93" s="1312" t="n"/>
      <c r="M93" s="1198" t="n"/>
      <c r="N93" s="1198" t="n"/>
      <c r="O93" s="1198" t="n"/>
      <c r="P93" s="1199" t="n"/>
      <c r="Q93" s="1138" t="n"/>
      <c r="R93" s="1139" t="n"/>
      <c r="S93" s="1139" t="n"/>
      <c r="T93" s="1139" t="n"/>
      <c r="U93" s="1188" t="n"/>
    </row>
    <row r="94" ht="18.75" customFormat="1" customHeight="1" s="1313">
      <c r="A94" s="1314" t="inlineStr">
        <is>
          <t>Target Water Profile(values in PPM)</t>
        </is>
      </c>
      <c r="B94" s="1315" t="n"/>
      <c r="C94" s="1315" t="n"/>
      <c r="D94" s="1315" t="n"/>
      <c r="E94" s="1315" t="n"/>
      <c r="F94" s="1315" t="n"/>
      <c r="G94" s="1315" t="n"/>
      <c r="H94" s="1315" t="n"/>
      <c r="I94" s="1315" t="n"/>
      <c r="J94" s="1315" t="n"/>
      <c r="K94" s="1315" t="n"/>
      <c r="L94" s="1315" t="n"/>
      <c r="M94" s="1315" t="n"/>
      <c r="N94" s="1315" t="n"/>
      <c r="O94" s="1315" t="n"/>
      <c r="P94" s="1316" t="n"/>
      <c r="Q94" s="1317" t="n"/>
      <c r="R94" s="1318" t="n"/>
      <c r="S94" s="1318" t="n"/>
      <c r="T94" s="1318" t="n"/>
      <c r="U94" s="1319" t="n"/>
    </row>
    <row r="95" ht="12.75" customFormat="1" customHeight="1" s="1313">
      <c r="A95" s="1320" t="inlineStr">
        <is>
          <t>Ca</t>
        </is>
      </c>
      <c r="B95" s="1321" t="n"/>
      <c r="C95" s="1321" t="inlineStr">
        <is>
          <t>Mg</t>
        </is>
      </c>
      <c r="D95" s="1321" t="n"/>
      <c r="E95" s="1321" t="inlineStr">
        <is>
          <t>Na</t>
        </is>
      </c>
      <c r="F95" s="1321" t="n"/>
      <c r="G95" s="1321" t="inlineStr">
        <is>
          <t>Cl</t>
        </is>
      </c>
      <c r="H95" s="1321" t="n"/>
      <c r="I95" s="1321" t="n"/>
      <c r="J95" s="1321" t="inlineStr">
        <is>
          <t>SO4</t>
        </is>
      </c>
      <c r="K95" s="1321" t="n"/>
      <c r="L95" s="1321" t="n"/>
      <c r="M95" s="1321" t="inlineStr">
        <is>
          <t>Ratio Cl:SO4</t>
        </is>
      </c>
      <c r="N95" s="1321" t="n"/>
      <c r="O95" s="1321" t="n"/>
      <c r="P95" s="1322" t="inlineStr">
        <is>
          <t>Alkalinity</t>
        </is>
      </c>
      <c r="Q95" s="1317" t="n"/>
      <c r="R95" s="1318" t="n"/>
      <c r="S95" s="1318" t="n"/>
      <c r="T95" s="1318" t="n"/>
      <c r="U95" s="1319" t="n"/>
    </row>
    <row r="96" ht="5.25" customFormat="1" customHeight="1" s="1313">
      <c r="A96" s="1323" t="n"/>
      <c r="B96" s="1324" t="n"/>
      <c r="C96" s="1324" t="n"/>
      <c r="D96" s="1324" t="n"/>
      <c r="E96" s="1324" t="n"/>
      <c r="F96" s="1324" t="n"/>
      <c r="G96" s="1324" t="n"/>
      <c r="H96" s="1324" t="n"/>
      <c r="I96" s="1324" t="n"/>
      <c r="J96" s="1324" t="n"/>
      <c r="K96" s="1324" t="n"/>
      <c r="L96" s="1324" t="n"/>
      <c r="M96" s="1324" t="n"/>
      <c r="N96" s="1324" t="n"/>
      <c r="O96" s="1324" t="n"/>
      <c r="P96" s="1325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6" t="n"/>
      <c r="B97" s="1326" t="n"/>
      <c r="C97" s="1326" t="n"/>
      <c r="D97" s="1326" t="n"/>
      <c r="E97" s="1326" t="n"/>
      <c r="F97" s="1326" t="n"/>
      <c r="G97" s="1326" t="n"/>
      <c r="H97" s="1326" t="n"/>
      <c r="I97" s="1326" t="n"/>
      <c r="J97" s="1326" t="n"/>
      <c r="K97" s="1326" t="n"/>
      <c r="L97" s="1326" t="n"/>
      <c r="M97" s="1327" t="n"/>
      <c r="N97" s="1326" t="n"/>
      <c r="O97" s="1326" t="n"/>
      <c r="P97" s="1328" t="n"/>
      <c r="Q97" s="1317" t="n"/>
      <c r="R97" s="1318" t="n"/>
      <c r="S97" s="1318" t="n"/>
      <c r="T97" s="1318" t="n"/>
      <c r="U97" s="1319" t="n"/>
    </row>
    <row r="98" ht="6" customFormat="1" customHeight="1" s="1313">
      <c r="A98" s="1329" t="n"/>
      <c r="B98" s="1093" t="n"/>
      <c r="C98" s="1093" t="n"/>
      <c r="D98" s="1093" t="n"/>
      <c r="E98" s="1093" t="n"/>
      <c r="F98" s="1093" t="n"/>
      <c r="G98" s="1093" t="n"/>
      <c r="H98" s="1093" t="n"/>
      <c r="I98" s="1093" t="n"/>
      <c r="J98" s="1093" t="n"/>
      <c r="K98" s="1093" t="n"/>
      <c r="L98" s="1093" t="n"/>
      <c r="M98" s="1093" t="n"/>
      <c r="N98" s="1093" t="n"/>
      <c r="O98" s="1093" t="n"/>
      <c r="P98" s="1094" t="n"/>
      <c r="Q98" s="1317" t="n"/>
      <c r="R98" s="1318" t="n"/>
      <c r="S98" s="1318" t="n"/>
      <c r="T98" s="1318" t="n"/>
      <c r="U98" s="1319" t="n"/>
    </row>
    <row r="99" ht="18.75" customFormat="1" customHeight="1" s="1310">
      <c r="A99" s="1330" t="inlineStr">
        <is>
          <t>Revisie nummer</t>
        </is>
      </c>
      <c r="B99" s="1114" t="n"/>
      <c r="C99" s="1114" t="n"/>
      <c r="D99" s="1114" t="n"/>
      <c r="E99" s="1114" t="n"/>
      <c r="F99" s="1114" t="n"/>
      <c r="G99" s="1114" t="n"/>
      <c r="H99" s="1114" t="n"/>
      <c r="I99" s="1114" t="n"/>
      <c r="J99" s="1114" t="n"/>
      <c r="K99" s="1114" t="n"/>
      <c r="L99" s="1114" t="n"/>
      <c r="M99" s="1114" t="n"/>
      <c r="N99" s="1114" t="n"/>
      <c r="O99" s="1114" t="n"/>
      <c r="P99" s="1115" t="n"/>
      <c r="Q99" s="1138" t="n"/>
      <c r="R99" s="1139" t="n"/>
      <c r="S99" s="1139" t="n"/>
      <c r="T99" s="1139" t="n"/>
      <c r="U99" s="1187" t="n"/>
    </row>
    <row r="100" ht="15" customFormat="1" customHeight="1" s="1331">
      <c r="A100" s="1298" t="inlineStr">
        <is>
          <t>Revisie nummer</t>
        </is>
      </c>
      <c r="B100" s="1114" t="n"/>
      <c r="C100" s="1115" t="n"/>
      <c r="D100" s="1332" t="inlineStr">
        <is>
          <t>Wijziging</t>
        </is>
      </c>
      <c r="E100" s="1333" t="n"/>
      <c r="F100" s="1333" t="n"/>
      <c r="G100" s="1333" t="n"/>
      <c r="H100" s="1333" t="n"/>
      <c r="I100" s="1333" t="n"/>
      <c r="J100" s="1333" t="n"/>
      <c r="K100" s="1333" t="n"/>
      <c r="L100" s="1333" t="n"/>
      <c r="M100" s="1333" t="n"/>
      <c r="N100" s="1296" t="inlineStr">
        <is>
          <t>Datum</t>
        </is>
      </c>
      <c r="O100" s="1114" t="n"/>
      <c r="P100" s="1334" t="inlineStr">
        <is>
          <t>Door</t>
        </is>
      </c>
      <c r="Q100" s="1138" t="n"/>
      <c r="R100" s="1139" t="n"/>
      <c r="S100" s="1139" t="n"/>
      <c r="T100" s="1139" t="n"/>
      <c r="U100" s="1157" t="n"/>
    </row>
    <row r="101" ht="15" customFormat="1" customHeight="1" s="1073">
      <c r="A101" s="1335" t="n"/>
      <c r="B101" s="1223" t="n"/>
      <c r="C101" s="1224" t="n"/>
      <c r="D101" s="1233" t="n"/>
      <c r="E101" s="1177" t="n"/>
      <c r="F101" s="1177" t="n"/>
      <c r="G101" s="1177" t="n"/>
      <c r="H101" s="1177" t="n"/>
      <c r="I101" s="1177" t="n"/>
      <c r="J101" s="1177" t="n"/>
      <c r="K101" s="1177" t="n"/>
      <c r="L101" s="1177" t="n"/>
      <c r="M101" s="1178" t="n"/>
      <c r="N101" s="1336" t="n"/>
      <c r="O101" s="1224" t="n"/>
      <c r="P101" s="1303" t="n"/>
      <c r="Q101" s="1138" t="n"/>
      <c r="R101" s="1139" t="n"/>
      <c r="S101" s="1139" t="n"/>
      <c r="T101" s="1139" t="n"/>
      <c r="U101" s="1157" t="n"/>
    </row>
    <row r="102" ht="15" customFormat="1" customHeight="1" s="1073">
      <c r="A102" s="1337" t="n"/>
      <c r="B102" s="1177" t="n"/>
      <c r="C102" s="1178" t="n"/>
      <c r="D102" s="1233" t="n"/>
      <c r="E102" s="1177" t="n"/>
      <c r="F102" s="1177" t="n"/>
      <c r="G102" s="1177" t="n"/>
      <c r="H102" s="1177" t="n"/>
      <c r="I102" s="1177" t="n"/>
      <c r="J102" s="1177" t="n"/>
      <c r="K102" s="1177" t="n"/>
      <c r="L102" s="1177" t="n"/>
      <c r="M102" s="1178" t="n"/>
      <c r="N102" s="1338" t="n"/>
      <c r="O102" s="1178" t="n"/>
      <c r="P102" s="1337" t="n"/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7" t="n"/>
      <c r="B103" s="1177" t="n"/>
      <c r="C103" s="1178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8" t="n"/>
      <c r="O103" s="1178" t="n"/>
      <c r="P103" s="1337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05" t="n"/>
      <c r="B105" s="1198" t="n"/>
      <c r="C105" s="1199" t="n"/>
      <c r="D105" s="1305" t="n"/>
      <c r="E105" s="1198" t="n"/>
      <c r="F105" s="1198" t="n"/>
      <c r="G105" s="1198" t="n"/>
      <c r="H105" s="1198" t="n"/>
      <c r="I105" s="1198" t="n"/>
      <c r="J105" s="1198" t="n"/>
      <c r="K105" s="1198" t="n"/>
      <c r="L105" s="1198" t="n"/>
      <c r="M105" s="1198" t="n"/>
      <c r="N105" s="1198" t="n"/>
      <c r="O105" s="1198" t="n"/>
      <c r="P105" s="1199" t="n"/>
      <c r="Q105" s="1138" t="n"/>
      <c r="R105" s="1139" t="n"/>
      <c r="S105" s="1139" t="n"/>
      <c r="T105" s="1139" t="n"/>
      <c r="U105" s="1157" t="n"/>
    </row>
    <row r="106" ht="15" customHeight="1" s="1339">
      <c r="A106" s="1340" t="n"/>
      <c r="B106" s="1099" t="n"/>
      <c r="C106" s="1099" t="n"/>
      <c r="D106" s="1099" t="n"/>
      <c r="E106" s="1099" t="n"/>
      <c r="F106" s="1099" t="n"/>
      <c r="G106" s="1099" t="n"/>
      <c r="H106" s="1139" t="n"/>
      <c r="I106" s="1139" t="n"/>
      <c r="J106" s="1139" t="n"/>
      <c r="K106" s="1139" t="n"/>
      <c r="L106" s="1341" t="n"/>
      <c r="M106" s="1099" t="n"/>
      <c r="N106" s="1099" t="n"/>
      <c r="O106" s="1099" t="n"/>
      <c r="P106" s="1099" t="n"/>
      <c r="Q106" s="1138" t="n"/>
      <c r="R106" s="1139" t="n"/>
      <c r="S106" s="1139" t="n"/>
      <c r="T106" s="1139" t="n"/>
      <c r="U106" s="1157" t="n"/>
    </row>
    <row r="107" ht="15" customHeight="1" s="1339">
      <c r="C107" s="1342" t="inlineStr">
        <is>
          <t xml:space="preserve"> </t>
        </is>
      </c>
      <c r="D107" s="1139" t="inlineStr">
        <is>
          <t xml:space="preserve"> </t>
        </is>
      </c>
      <c r="E107" s="1139" t="inlineStr">
        <is>
          <t xml:space="preserve"> </t>
        </is>
      </c>
      <c r="F107" s="1139" t="inlineStr">
        <is>
          <t xml:space="preserve"> </t>
        </is>
      </c>
      <c r="G107" s="1139" t="inlineStr">
        <is>
          <t xml:space="preserve"> </t>
        </is>
      </c>
      <c r="H107" s="1343" t="inlineStr">
        <is>
          <t xml:space="preserve"> </t>
        </is>
      </c>
      <c r="I107" s="1343" t="inlineStr">
        <is>
          <t xml:space="preserve"> </t>
        </is>
      </c>
      <c r="J107" s="1343" t="inlineStr">
        <is>
          <t xml:space="preserve"> </t>
        </is>
      </c>
      <c r="K107" s="1343" t="inlineStr">
        <is>
          <t xml:space="preserve"> </t>
        </is>
      </c>
      <c r="L107" s="1343" t="inlineStr">
        <is>
          <t xml:space="preserve"> </t>
        </is>
      </c>
      <c r="M107" s="1341" t="inlineStr">
        <is>
          <t xml:space="preserve"> </t>
        </is>
      </c>
      <c r="N107" s="1344" t="inlineStr">
        <is>
          <t xml:space="preserve"> </t>
        </is>
      </c>
      <c r="O107" s="1344" t="inlineStr">
        <is>
          <t xml:space="preserve"> </t>
        </is>
      </c>
      <c r="P107" s="1343" t="inlineStr">
        <is>
          <t xml:space="preserve"> </t>
        </is>
      </c>
      <c r="Q107" s="1138" t="n"/>
      <c r="R107" s="1139" t="n"/>
      <c r="S107" s="1139" t="n"/>
      <c r="T107" s="1139" t="n"/>
      <c r="U107" s="1139" t="n"/>
      <c r="V107" s="1343" t="n"/>
      <c r="W107" s="1343" t="n"/>
      <c r="X107" s="1343" t="n"/>
      <c r="Y107" s="1343" t="n"/>
      <c r="Z107" s="1343" t="n"/>
      <c r="AA107" s="1343" t="n"/>
      <c r="AB107" s="1343" t="n"/>
      <c r="AC107" s="1343" t="n"/>
      <c r="AD107" s="1343" t="n"/>
      <c r="AE107" s="1343" t="n"/>
      <c r="AF107" s="1343" t="n"/>
      <c r="AG107" s="1343" t="n"/>
    </row>
  </sheetData>
  <mergeCells count="309">
    <mergeCell ref="N101:O101"/>
    <mergeCell ref="L50:O50"/>
    <mergeCell ref="D102:M102"/>
    <mergeCell ref="N100:O100"/>
    <mergeCell ref="G62:I62"/>
    <mergeCell ref="A21:C21"/>
    <mergeCell ref="L52:O52"/>
    <mergeCell ref="A57:C57"/>
    <mergeCell ref="A28:P28"/>
    <mergeCell ref="A58:D58"/>
    <mergeCell ref="A23:C23"/>
    <mergeCell ref="I30:O30"/>
    <mergeCell ref="L93:P93"/>
    <mergeCell ref="A73:D73"/>
    <mergeCell ref="Q63:R63"/>
    <mergeCell ref="A60:D60"/>
    <mergeCell ref="A52:C52"/>
    <mergeCell ref="E88:H88"/>
    <mergeCell ref="E82:H82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5:H75"/>
    <mergeCell ref="I54:J54"/>
    <mergeCell ref="G12:J12"/>
    <mergeCell ref="A83:P83"/>
    <mergeCell ref="N102:O102"/>
    <mergeCell ref="A29:C29"/>
    <mergeCell ref="I56:J56"/>
    <mergeCell ref="I43:J43"/>
    <mergeCell ref="A79:D79"/>
    <mergeCell ref="A44:C44"/>
    <mergeCell ref="I70:L70"/>
    <mergeCell ref="A31:C31"/>
    <mergeCell ref="N17:P20"/>
    <mergeCell ref="A24:C24"/>
    <mergeCell ref="A65:P65"/>
    <mergeCell ref="A74:D74"/>
    <mergeCell ref="E90:H90"/>
    <mergeCell ref="A76:D76"/>
    <mergeCell ref="I75:K75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2:D92"/>
    <mergeCell ref="A69:D69"/>
    <mergeCell ref="L43:O43"/>
    <mergeCell ref="G13:J13"/>
    <mergeCell ref="G51:H51"/>
    <mergeCell ref="E78:H78"/>
    <mergeCell ref="I51:J51"/>
    <mergeCell ref="A89:D89"/>
    <mergeCell ref="G15:J15"/>
    <mergeCell ref="E80:H80"/>
    <mergeCell ref="I39:O39"/>
    <mergeCell ref="L82:P82"/>
    <mergeCell ref="E42:F42"/>
    <mergeCell ref="E81:H81"/>
    <mergeCell ref="L75:P75"/>
    <mergeCell ref="M66:P66"/>
    <mergeCell ref="A82:D82"/>
    <mergeCell ref="G60:I60"/>
    <mergeCell ref="A85:E85"/>
    <mergeCell ref="L62:O62"/>
    <mergeCell ref="A66:D66"/>
    <mergeCell ref="A99:P99"/>
    <mergeCell ref="N16:P16"/>
    <mergeCell ref="A45:C45"/>
    <mergeCell ref="L72:P72"/>
    <mergeCell ref="L51:O51"/>
    <mergeCell ref="I67:L67"/>
    <mergeCell ref="E47:F47"/>
    <mergeCell ref="K7:M8"/>
    <mergeCell ref="A46:C46"/>
    <mergeCell ref="A72:D72"/>
    <mergeCell ref="A105:C105"/>
    <mergeCell ref="A26:C26"/>
    <mergeCell ref="A86:F86"/>
    <mergeCell ref="E63:F63"/>
    <mergeCell ref="I79:K79"/>
    <mergeCell ref="I73:K73"/>
    <mergeCell ref="L85:P85"/>
    <mergeCell ref="I74:K74"/>
    <mergeCell ref="N4:P4"/>
    <mergeCell ref="L84:P84"/>
    <mergeCell ref="L80:P80"/>
    <mergeCell ref="I33:O33"/>
    <mergeCell ref="A71:P71"/>
    <mergeCell ref="I35:O35"/>
    <mergeCell ref="I92:K92"/>
    <mergeCell ref="C7:D8"/>
    <mergeCell ref="A32:C32"/>
    <mergeCell ref="E7:F8"/>
    <mergeCell ref="L73:P73"/>
    <mergeCell ref="I81:K81"/>
    <mergeCell ref="I76:K76"/>
    <mergeCell ref="A16:C16"/>
    <mergeCell ref="L86:P86"/>
    <mergeCell ref="G26:J26"/>
    <mergeCell ref="A91:D91"/>
    <mergeCell ref="A1:P2"/>
    <mergeCell ref="A18:C18"/>
    <mergeCell ref="A93:D93"/>
    <mergeCell ref="A68:D68"/>
    <mergeCell ref="A19:M19"/>
    <mergeCell ref="A47:C47"/>
    <mergeCell ref="A22:C22"/>
    <mergeCell ref="I34:O34"/>
    <mergeCell ref="E59:F59"/>
    <mergeCell ref="I36:O36"/>
    <mergeCell ref="E46:F46"/>
    <mergeCell ref="D105:P105"/>
    <mergeCell ref="E61:F61"/>
    <mergeCell ref="I89:K89"/>
    <mergeCell ref="E54:F54"/>
    <mergeCell ref="G54:H54"/>
    <mergeCell ref="E56:F56"/>
    <mergeCell ref="D103:M103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2:P92"/>
    <mergeCell ref="A98:P98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79:H79"/>
    <mergeCell ref="I42:J42"/>
    <mergeCell ref="K58:K63"/>
    <mergeCell ref="M70:P70"/>
    <mergeCell ref="E73:H73"/>
    <mergeCell ref="I52:J52"/>
    <mergeCell ref="I32:O32"/>
    <mergeCell ref="N40:O40"/>
    <mergeCell ref="I44:J44"/>
    <mergeCell ref="I66:L66"/>
    <mergeCell ref="K9:M9"/>
    <mergeCell ref="E74:H74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88:D88"/>
    <mergeCell ref="A94:P94"/>
    <mergeCell ref="A40:C40"/>
    <mergeCell ref="A15:C15"/>
    <mergeCell ref="L42:O42"/>
    <mergeCell ref="A87:P87"/>
    <mergeCell ref="A90:D90"/>
    <mergeCell ref="A51:C51"/>
    <mergeCell ref="E58:F58"/>
    <mergeCell ref="N104:O104"/>
    <mergeCell ref="I45:J45"/>
    <mergeCell ref="E76:H76"/>
    <mergeCell ref="L78:P78"/>
    <mergeCell ref="I47:J47"/>
    <mergeCell ref="N23:P25"/>
    <mergeCell ref="I69:L69"/>
    <mergeCell ref="A84:E84"/>
    <mergeCell ref="G11:J11"/>
    <mergeCell ref="A5:D6"/>
    <mergeCell ref="L47:O47"/>
    <mergeCell ref="E92:H92"/>
    <mergeCell ref="A78:D78"/>
    <mergeCell ref="A30:C30"/>
    <mergeCell ref="A80:D80"/>
    <mergeCell ref="A7:B8"/>
    <mergeCell ref="L58:O58"/>
    <mergeCell ref="E89:H89"/>
    <mergeCell ref="A54:C54"/>
    <mergeCell ref="L60:O60"/>
    <mergeCell ref="G64:J64"/>
    <mergeCell ref="A56:C56"/>
    <mergeCell ref="A27:C27"/>
    <mergeCell ref="E72:H72"/>
    <mergeCell ref="K3:M4"/>
    <mergeCell ref="G53:H53"/>
    <mergeCell ref="I53:J53"/>
    <mergeCell ref="I55:J55"/>
    <mergeCell ref="L79:P79"/>
    <mergeCell ref="I48:J48"/>
    <mergeCell ref="A41:P41"/>
    <mergeCell ref="I77:K77"/>
    <mergeCell ref="A75:D75"/>
    <mergeCell ref="A36:C36"/>
    <mergeCell ref="A11:C11"/>
    <mergeCell ref="L81:P81"/>
    <mergeCell ref="G84:K84"/>
    <mergeCell ref="M64:O64"/>
    <mergeCell ref="G14:J14"/>
    <mergeCell ref="I72:K72"/>
    <mergeCell ref="A81:D81"/>
    <mergeCell ref="I88:K88"/>
    <mergeCell ref="L74:P74"/>
    <mergeCell ref="I82:K82"/>
    <mergeCell ref="L53:O53"/>
    <mergeCell ref="A70:D70"/>
    <mergeCell ref="L76:P76"/>
    <mergeCell ref="E49:F49"/>
    <mergeCell ref="N103:O103"/>
    <mergeCell ref="Q1:U2"/>
    <mergeCell ref="G44:H44"/>
    <mergeCell ref="A9:B9"/>
    <mergeCell ref="A3:B4"/>
    <mergeCell ref="E91:H91"/>
    <mergeCell ref="G20:J20"/>
    <mergeCell ref="G85:J85"/>
    <mergeCell ref="A12:C12"/>
    <mergeCell ref="A104:C104"/>
    <mergeCell ref="E93:H93"/>
    <mergeCell ref="A14:C14"/>
    <mergeCell ref="G86:J86"/>
    <mergeCell ref="L89:P89"/>
    <mergeCell ref="I78:K78"/>
    <mergeCell ref="G49:H49"/>
    <mergeCell ref="L88:P88"/>
    <mergeCell ref="D104:M104"/>
    <mergeCell ref="I90:K90"/>
    <mergeCell ref="I37:O37"/>
    <mergeCell ref="I91:K91"/>
    <mergeCell ref="N21:P21"/>
    <mergeCell ref="L77:P77"/>
    <mergeCell ref="A25:C25"/>
    <mergeCell ref="E50:F50"/>
    <mergeCell ref="L44:O44"/>
    <mergeCell ref="G42:H42"/>
    <mergeCell ref="I93:K93"/>
    <mergeCell ref="A101:C101"/>
    <mergeCell ref="E52:F52"/>
    <mergeCell ref="A10:M10"/>
    <mergeCell ref="E44:F44"/>
    <mergeCell ref="E66:H66"/>
    <mergeCell ref="A77:D77"/>
    <mergeCell ref="M68:P68"/>
    <mergeCell ref="E68:H68"/>
    <mergeCell ref="A20:C20"/>
    <mergeCell ref="M67:P67"/>
    <mergeCell ref="C3:G4"/>
    <mergeCell ref="D101:M101"/>
    <mergeCell ref="M69:P69"/>
    <mergeCell ref="E57:F57"/>
    <mergeCell ref="I80:K80"/>
    <mergeCell ref="L90:P90"/>
    <mergeCell ref="G50:H50"/>
    <mergeCell ref="I50:J50"/>
    <mergeCell ref="H3:J4"/>
    <mergeCell ref="G52:H52"/>
    <mergeCell ref="L91:P91"/>
    <mergeCell ref="I38:O38"/>
    <mergeCell ref="A33:C33"/>
    <mergeCell ref="E5:M6"/>
    <mergeCell ref="A100:C100"/>
    <mergeCell ref="A35:C35"/>
    <mergeCell ref="E60:F60"/>
    <mergeCell ref="A102:C102"/>
    <mergeCell ref="E45:F45"/>
    <mergeCell ref="G45:H45"/>
    <mergeCell ref="A39:C39"/>
    <mergeCell ref="G59:I59"/>
    <mergeCell ref="G55:H55"/>
    <mergeCell ref="E69:H69"/>
    <mergeCell ref="G47:H47"/>
    <mergeCell ref="A103:C103"/>
    <mergeCell ref="G61:I61"/>
    <mergeCell ref="G46:H46"/>
    <mergeCell ref="E77:H77"/>
    <mergeCell ref="L63:O63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16C" percent="0" bottom="0">
      <formula>NOT(ISERROR(SEARCH("16C",G62)))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16C" percent="0" bottom="0">
      <formula>NOT(ISERROR(SEARCH("16C",G61)))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16C" percent="0" bottom="0">
      <formula>NOT(ISERROR(SEARCH("16C",G59)))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koud" percent="0" bottom="0">
      <formula>NOT(ISERROR(SEARCH("koud",G58)))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1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'Recept-voorblad'!Q1</f>
        <v/>
      </c>
      <c r="B1" s="1083" t="n"/>
      <c r="C1" s="1350" t="inlineStr">
        <is>
          <t xml:space="preserve">Brouw specificaties 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>Bier status</t>
        </is>
      </c>
      <c r="Q1" s="1315" t="n"/>
      <c r="R1" s="1316" t="n"/>
      <c r="S1" s="1352" t="inlineStr">
        <is>
          <t xml:space="preserve">Invullen op de brouwdag 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'Recept-voorblad'!N23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>Naam bier</t>
        </is>
      </c>
      <c r="E3" s="1355">
        <f>'Recept-voorblad'!C3</f>
        <v/>
      </c>
      <c r="F3" s="1075" t="n"/>
      <c r="G3" s="1075" t="n"/>
      <c r="H3" s="1075" t="n"/>
      <c r="I3" s="1075" t="n"/>
      <c r="J3" s="1076" t="n"/>
      <c r="K3" s="1356" t="inlineStr">
        <is>
          <t>Batchnummer</t>
        </is>
      </c>
      <c r="M3" s="1083" t="n"/>
      <c r="N3" s="1357">
        <f>'Recept-voorblad'!K3</f>
        <v/>
      </c>
      <c r="O3" s="1083" t="n"/>
      <c r="P3" s="1358" t="inlineStr">
        <is>
          <t>Brouwsel nr,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>Order nr,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>Bier stijl</t>
        </is>
      </c>
      <c r="E5" s="1364">
        <f>'Recept-voorblad'!C7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>Datum 1e brouwsel</t>
        </is>
      </c>
      <c r="L5" s="1075" t="n"/>
      <c r="M5" s="1076" t="n"/>
      <c r="N5" s="1368" t="n"/>
      <c r="O5" s="1107" t="n"/>
      <c r="P5" s="1369" t="inlineStr">
        <is>
          <t>Naam brouwer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>Start inmaischen (dd-mm uu:mm)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Brouw specificaties 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>Recept specificaties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>Maischen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"Totaal volume batch","Recept nummer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>Gewenste stamwort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>Maisch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>Receptnaam Software</t>
        </is>
      </c>
      <c r="E9" s="1083" t="n"/>
      <c r="F9" s="1394" t="n"/>
      <c r="G9" s="1177" t="n"/>
      <c r="H9" s="1178" t="n"/>
      <c r="I9" s="1395" t="inlineStr">
        <is>
          <t>Gewenste eind plato</t>
        </is>
      </c>
      <c r="M9" s="1083" t="n"/>
      <c r="N9" s="1396">
        <f>'Recept-voorblad'!F13</f>
        <v/>
      </c>
      <c r="O9" s="1397" t="inlineStr">
        <is>
          <t>⁰P</t>
        </is>
      </c>
      <c r="P9" s="1398" t="inlineStr">
        <is>
          <t>pH na inmaischen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"Stort special bin kg","Maischwater")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"Maischwater","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Correctie zuur 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"Naam special bin storting"," ")</f>
        <v/>
      </c>
      <c r="E11" s="1083" t="n"/>
      <c r="F11" s="1410" t="n"/>
      <c r="G11" s="1177" t="n"/>
      <c r="H11" s="1178" t="n"/>
      <c r="I11" s="1395" t="inlineStr">
        <is>
          <t>pH Maische</t>
        </is>
      </c>
      <c r="M11" s="1083" t="n"/>
      <c r="N11" s="1411" t="n"/>
      <c r="O11" s="1178" t="n"/>
      <c r="P11" s="1398" t="inlineStr">
        <is>
          <t>pH na correctie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>Beslag dikte</t>
        </is>
      </c>
      <c r="E12" s="1083" t="n"/>
      <c r="F12" s="1414">
        <f>"1 :"&amp;ROUNDUP(IF(LEFT(A1,2)="WP",(N10*100)/'Recept-voorblad'!D40,(F10*100)/'Recept-voorblad'!D40),2)</f>
        <v/>
      </c>
      <c r="G12" s="1177" t="n"/>
      <c r="H12" s="1178" t="n"/>
      <c r="I12" s="1395" t="inlineStr">
        <is>
          <t>pH Start koken</t>
        </is>
      </c>
      <c r="M12" s="1083" t="n"/>
      <c r="N12" s="1411" t="n"/>
      <c r="O12" s="1178" t="n"/>
      <c r="P12" s="1398" t="inlineStr">
        <is>
          <t>Joodnormaal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"Cumm. Corp./sparging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>pH Eind Koken</t>
        </is>
      </c>
      <c r="M13" s="1083" t="n"/>
      <c r="N13" s="1411" t="n"/>
      <c r="O13" s="1178" t="n"/>
      <c r="P13" s="1417" t="inlineStr">
        <is>
          <t>Afwijking maische schema?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>Brouwsel (hl)</t>
        </is>
      </c>
      <c r="E14" s="1083" t="n"/>
      <c r="F14" s="1419">
        <f>'Recept-voorblad'!C9</f>
        <v/>
      </c>
      <c r="G14" s="1177" t="n"/>
      <c r="H14" s="1403" t="inlineStr">
        <is>
          <t>hl</t>
        </is>
      </c>
      <c r="I14" s="1395" t="inlineStr">
        <is>
          <t>Beluchting</t>
        </is>
      </c>
      <c r="M14" s="1083" t="n"/>
      <c r="N14" s="1420" t="n"/>
      <c r="O14" s="1397">
        <f>IF(LEFT(A1,2)="WP", "ppm","l/h")</f>
        <v/>
      </c>
      <c r="P14" s="1421" t="inlineStr">
        <is>
          <t>Spoelwater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>Verwacht extract begin kook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>Wort naar gisttank Temp</t>
        </is>
      </c>
      <c r="J15" s="1080" t="n"/>
      <c r="K15" s="1080" t="n"/>
      <c r="L15" s="1080" t="n"/>
      <c r="M15" s="1081" t="n"/>
      <c r="N15" s="1428">
        <f>'Recept-voorblad'!F21</f>
        <v/>
      </c>
      <c r="O15" s="1429" t="inlineStr">
        <is>
          <t>°C</t>
        </is>
      </c>
      <c r="P15" s="1379" t="inlineStr">
        <is>
          <t>Filtratie &amp; voorloopvat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>Volume kook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"Sparging instellingen","Filtratie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>Plato 1e wortvolume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>Wortvoorkoeler temp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"sparging 1e","1e afloop")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>Extract laatste afloop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"Volume water aditie terug koeling","Totaal volume brouwsel 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"sparging 2e","Spoelwater")</f>
        <v/>
      </c>
      <c r="M18" s="1083" t="n"/>
      <c r="N18" s="1397" t="n"/>
      <c r="O18" s="1397">
        <f>O17</f>
        <v/>
      </c>
      <c r="P18" s="1369" t="inlineStr">
        <is>
          <t>Eerste afloop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"Eindvolume brouwsel","Eindvolume in CKT")</f>
        <v/>
      </c>
      <c r="B19" s="1434" t="n"/>
      <c r="C19" s="1434" t="n"/>
      <c r="D19" s="1434" t="n"/>
      <c r="E19" s="1435" t="n"/>
      <c r="F19" s="1419">
        <f>IF(LEFT(A1,2)="WP", 'Recept-voorblad'!C9,'Recept-voorblad'!C9*'Recept-voorblad'!G7)</f>
        <v/>
      </c>
      <c r="G19" s="1177" t="n"/>
      <c r="H19" s="1403" t="inlineStr">
        <is>
          <t>hl</t>
        </is>
      </c>
      <c r="I19" s="1401">
        <f>IF(LEFT(A1,2)="WP", "sparging 3e","Spoel afloop")</f>
        <v/>
      </c>
      <c r="M19" s="1083" t="n"/>
      <c r="N19" s="1397" t="n"/>
      <c r="O19" s="1397">
        <f>O18</f>
        <v/>
      </c>
      <c r="P19" s="1369">
        <f>IF(LEFT(A1,2)="WP", "Cumm, Sparging vol,","spoelwater")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>Gewenste verdamping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"sparging 4e","Totaal gefiltreerd volume")</f>
        <v/>
      </c>
      <c r="M20" s="1083" t="n"/>
      <c r="N20" s="1397" t="n"/>
      <c r="O20" s="1445">
        <f>O17</f>
        <v/>
      </c>
      <c r="P20" s="1369">
        <f>IF(LEFT(A1,2)="WP", "Last run pH","Spoelafloop")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>Intensiteit koken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"Aantal kamers Mash Filter","Lauterfactor")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>Filtratie tijd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>Whirlpool rust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>Koken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>Maisch schema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"Toevoegingen:","Extra toevoegingen")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>pH begin kook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>Inmaischen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>Minuten rust</t>
        </is>
      </c>
      <c r="H24" s="1470" t="n"/>
      <c r="I24" s="1459" t="inlineStr">
        <is>
          <t xml:space="preserve">Toevoegingen </t>
        </is>
      </c>
      <c r="J24" s="1114" t="n"/>
      <c r="K24" s="1115" t="n"/>
      <c r="L24" s="1471" t="inlineStr">
        <is>
          <t>Hoeveelheid</t>
        </is>
      </c>
      <c r="M24" s="1115" t="n"/>
      <c r="N24" s="1471" t="inlineStr">
        <is>
          <t>Moment</t>
        </is>
      </c>
      <c r="O24" s="1115" t="n"/>
      <c r="P24" s="1446" t="inlineStr">
        <is>
          <t>Extract begin kook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>Verhogen naar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>Minuten rust</t>
        </is>
      </c>
      <c r="I25" s="1479">
        <f>IF(LEFT(A1,2)="WP",IF('Recept-voorblad'!A73="","",'Recept-voorblad'!A73),IF('Recept-voorblad'!A89="-","-",IF('Recept-voorblad'!A89="Revisie nummer","",'Recept-voorblad'!A89)))</f>
        <v/>
      </c>
      <c r="J25" s="1223" t="n"/>
      <c r="K25" s="1224" t="n"/>
      <c r="L25" s="1480">
        <f>IF(LEFT($A$1,2)="WP",IF('Recept-voorblad'!E73="","",'Recept-voorblad'!E73),IF('Recept-voorblad'!E89="","",'Recept-voorblad'!E89))</f>
        <v/>
      </c>
      <c r="M25" s="1481" t="n"/>
      <c r="N25" s="1482">
        <f>IF(LEFT($A$1,2)="WP",IF('Recept-voorblad'!I73="","",'Recept-voorblad'!I73),IF('Recept-voorblad'!I89="","",'Recept-voorblad'!I89))</f>
        <v/>
      </c>
      <c r="O25" s="1481" t="n"/>
      <c r="P25" s="1446" t="inlineStr">
        <is>
          <t>V begin kook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>Verhogen naar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>Minuten rust</t>
        </is>
      </c>
      <c r="I26" s="1486">
        <f>IF(LEFT(A1,2)="WP",IF('Recept-voorblad'!A74="","",'Recept-voorblad'!A74),IF('Recept-voorblad'!A90="-","-",IF('Recept-voorblad'!A90="Revisie nummer","",'Recept-voorblad'!A90)))</f>
        <v/>
      </c>
      <c r="J26" s="1177" t="n"/>
      <c r="K26" s="1178" t="n"/>
      <c r="L26" s="1487">
        <f>IF(LEFT($A$1,2)="WP",IF('Recept-voorblad'!E74="","",'Recept-voorblad'!E74),IF('Recept-voorblad'!E90="","",'Recept-voorblad'!E90))</f>
        <v/>
      </c>
      <c r="M26" s="1488" t="n"/>
      <c r="N26" s="1489">
        <f>IF(LEFT($A$1,2)="WP",IF('Recept-voorblad'!I74="","",'Recept-voorblad'!I74),IF('Recept-voorblad'!I90="","",'Recept-voorblad'!I90))</f>
        <v/>
      </c>
      <c r="O26" s="1488" t="n"/>
      <c r="P26" s="1446" t="inlineStr">
        <is>
          <t>Zuurcorrectie</t>
        </is>
      </c>
      <c r="Q26" s="1078" t="n"/>
      <c r="R26" s="1078" t="n"/>
      <c r="S26" s="1443" t="n"/>
      <c r="T26" s="1490">
        <f>IF(LEFT(A1,2)="WP", "liter","milliliter")</f>
        <v/>
      </c>
      <c r="U26" s="1443" t="n"/>
      <c r="V26" s="1491">
        <f>IF(LEFT(A1,2)="WP", "liter","milliliter")</f>
        <v/>
      </c>
      <c r="W26" s="1443" t="n"/>
      <c r="X26" s="1492">
        <f>IF(LEFT(A1,2)="WP", "liter","milliliter")</f>
        <v/>
      </c>
      <c r="Y26" s="1443" t="n"/>
      <c r="Z26" s="1493">
        <f>IF(LEFT(A1,2)="WP", "liter","milliliter")</f>
        <v/>
      </c>
      <c r="AA26" s="1443" t="n"/>
      <c r="AB26" s="1494">
        <f>IF(LEFT(A1,2)="WP", "liter","milliliter")</f>
        <v/>
      </c>
      <c r="AC26" s="1443" t="n"/>
      <c r="AD26" s="1494">
        <f>IF(LEFT(A1,2)="WP", "liter","milliliter")</f>
        <v/>
      </c>
      <c r="AE26" s="1443" t="n"/>
      <c r="AF26" s="1494">
        <f>IF(LEFT(A1,2)="WP", "liter","milliliter")</f>
        <v/>
      </c>
      <c r="AG26" s="1443" t="n"/>
      <c r="AH26" s="1494">
        <f>IF(LEFT(A1,2)="WP", "liter","milliliter")</f>
        <v/>
      </c>
      <c r="AI26" s="1443" t="n"/>
      <c r="AJ26" s="1494">
        <f>IF(LEFT(A1,2)="WP", "liter","milliliter")</f>
        <v/>
      </c>
      <c r="AK26" s="1340" t="n"/>
    </row>
    <row r="27" ht="14.25" customFormat="1" customHeight="1" s="1099">
      <c r="A27" s="1475" t="inlineStr">
        <is>
          <t>Verhogen naar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>Minuten rust</t>
        </is>
      </c>
      <c r="I27" s="1486">
        <f>IF(LEFT(A1,2)="WP",IF('Recept-voorblad'!A75="","",'Recept-voorblad'!A75),IF('Recept-voorblad'!A91="-","-",IF('Recept-voorblad'!A91="Revisie nummer","",'Recept-voorblad'!A91)))</f>
        <v/>
      </c>
      <c r="J27" s="1177" t="n"/>
      <c r="K27" s="1178" t="n"/>
      <c r="L27" s="1487">
        <f>IF(LEFT($A$1,2)="WP",IF('Recept-voorblad'!E75="","",'Recept-voorblad'!E75),IF('Recept-voorblad'!E91="","",'Recept-voorblad'!E91))</f>
        <v/>
      </c>
      <c r="M27" s="1488" t="n"/>
      <c r="N27" s="1489">
        <f>IF(LEFT($A$1,2)="WP",IF('Recept-voorblad'!I75="","",'Recept-voorblad'!I75),IF('Recept-voorblad'!I91="","",'Recept-voorblad'!I91))</f>
        <v/>
      </c>
      <c r="O27" s="1488" t="n"/>
      <c r="P27" s="1495" t="inlineStr">
        <is>
          <t>pH na zuurcorrectie / tijd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>Verhogen naar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>Minuten rust</t>
        </is>
      </c>
      <c r="I28" s="1486">
        <f>IF(LEFT(A1,2)="WP",IF('Recept-voorblad'!A76="","",'Recept-voorblad'!A76),IF('Recept-voorblad'!A92="-","-",IF('Recept-voorblad'!A92="Revisie nummer","",'Recept-voorblad'!A92)))</f>
        <v/>
      </c>
      <c r="J28" s="1177" t="n"/>
      <c r="K28" s="1178" t="n"/>
      <c r="L28" s="1487">
        <f>IF(LEFT($A$1,2)="WP",IF('Recept-voorblad'!E76="","",'Recept-voorblad'!E76),IF('Recept-voorblad'!E92="","",'Recept-voorblad'!E92))</f>
        <v/>
      </c>
      <c r="M28" s="1488" t="n"/>
      <c r="N28" s="1489">
        <f>IF(LEFT($A$1,2)="WP",IF('Recept-voorblad'!I76="","",'Recept-voorblad'!I76),IF('Recept-voorblad'!I92="","",'Recept-voorblad'!I92))</f>
        <v/>
      </c>
      <c r="O28" s="1488" t="n"/>
      <c r="P28" s="1446" t="inlineStr">
        <is>
          <t>Totale kooktijd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>Uitmaischen op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>Minuten rust</t>
        </is>
      </c>
      <c r="I29" s="1486">
        <f>IF(LEFT(A1,2)="WP",IF('Recept-voorblad'!A77="","",'Recept-voorblad'!A77),IF('Recept-voorblad'!A93="-","-",IF('Recept-voorblad'!A93="Revisie nummer","",'Recept-voorblad'!A93)))</f>
        <v/>
      </c>
      <c r="J29" s="1177" t="n"/>
      <c r="K29" s="1178" t="n"/>
      <c r="L29" s="1487">
        <f>IF(LEFT($A$1,2)="WP",IF('Recept-voorblad'!E77="","",'Recept-voorblad'!E77),IF('Recept-voorblad'!E93="","",'Recept-voorblad'!E93))</f>
        <v/>
      </c>
      <c r="M29" s="1488" t="n"/>
      <c r="N29" s="1489">
        <f>IF(LEFT($A$1,2)="WP",IF('Recept-voorblad'!I77="","",'Recept-voorblad'!I77),IF('Recept-voorblad'!I93="","",'Recept-voorblad'!I93))</f>
        <v/>
      </c>
      <c r="O29" s="1488" t="n"/>
      <c r="P29" s="1369" t="inlineStr">
        <is>
          <t>Verdamping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IF(LEFT(A1,2)="WP",IF('Recept-voorblad'!A78="","",'Recept-voorblad'!A78),"-")</f>
        <v/>
      </c>
      <c r="J30" s="1177" t="n"/>
      <c r="K30" s="1178" t="n"/>
      <c r="L30" s="1487">
        <f>IF(LEFT($A$1,2)="WP",IF('Recept-voorblad'!E78="","",'Recept-voorblad'!E78),"-")</f>
        <v/>
      </c>
      <c r="M30" s="1488" t="n"/>
      <c r="N30" s="1489">
        <f>IF(LEFT($A$1,2)="WP",IF('Recept-voorblad'!I78="","",'Recept-voorblad'!I78),"-")</f>
        <v/>
      </c>
      <c r="O30" s="1488" t="n"/>
      <c r="P30" s="1446" t="inlineStr">
        <is>
          <t>Extra toevoeging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IF(LEFT(A1,2)="WP",IF('Recept-voorblad'!A79="","",'Recept-voorblad'!A79),"-")</f>
        <v/>
      </c>
      <c r="J31" s="1177" t="n"/>
      <c r="K31" s="1178" t="n"/>
      <c r="L31" s="1487">
        <f>IF(LEFT($A$1,2)="WP",IF('Recept-voorblad'!E79="","",'Recept-voorblad'!E79),"-")</f>
        <v/>
      </c>
      <c r="M31" s="1488" t="n"/>
      <c r="N31" s="1489">
        <f>IF(LEFT($A$1,2)="WP",IF('Recept-voorblad'!I79="","",'Recept-voorblad'!I79),"-")</f>
        <v/>
      </c>
      <c r="O31" s="1488" t="n"/>
      <c r="P31" s="1358" t="inlineStr">
        <is>
          <t>Extract einde kook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IF(LEFT(A1,2)="WP",IF('Recept-voorblad'!A80="","",'Recept-voorblad'!A80),"-")</f>
        <v/>
      </c>
      <c r="J32" s="1177" t="n"/>
      <c r="K32" s="1178" t="n"/>
      <c r="L32" s="1487">
        <f>IF(LEFT($A$1,2)="WP",IF('Recept-voorblad'!E80="","",'Recept-voorblad'!E80),"-")</f>
        <v/>
      </c>
      <c r="M32" s="1488" t="n"/>
      <c r="N32" s="1489">
        <f>IF(LEFT($A$1,2)="WP",IF('Recept-voorblad'!I80="","",'Recept-voorblad'!I80),"-")</f>
        <v/>
      </c>
      <c r="O32" s="1488" t="n"/>
      <c r="P32" s="1525" t="inlineStr">
        <is>
          <t>Whirlpool/ Einde kook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IF(LEFT(A1,2)="WP",IF('Recept-voorblad'!A81="","",'Recept-voorblad'!A81),"-")</f>
        <v/>
      </c>
      <c r="J33" s="1177" t="n"/>
      <c r="K33" s="1178" t="n"/>
      <c r="L33" s="1487">
        <f>IF(LEFT($A$1,2)="WP",IF('Recept-voorblad'!E81="","",'Recept-voorblad'!E81),"-")</f>
        <v/>
      </c>
      <c r="M33" s="1488" t="n"/>
      <c r="N33" s="1489">
        <f>IF(LEFT($A$1,2)="WP",IF('Recept-voorblad'!I81="","",'Recept-voorblad'!I81),"-")</f>
        <v/>
      </c>
      <c r="O33" s="1488" t="n"/>
      <c r="P33" s="1526" t="inlineStr">
        <is>
          <t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IF(LEFT(A1,2)="WP",IF('Recept-voorblad'!A82="","",'Recept-voorblad'!A82),"-")</f>
        <v/>
      </c>
      <c r="J34" s="1507" t="n"/>
      <c r="K34" s="1533" t="n"/>
      <c r="L34" s="1534">
        <f>IF(LEFT($A$1,2)="WP",IF('Recept-voorblad'!E82="","",'Recept-voorblad'!E82),"-")</f>
        <v/>
      </c>
      <c r="M34" s="1535" t="n"/>
      <c r="N34" s="1536">
        <f>IF(LEFT($A$1,2)="WP",IF('Recept-voorblad'!I82="","",'Recept-voorblad'!I82),"-")</f>
        <v/>
      </c>
      <c r="O34" s="1535" t="n"/>
      <c r="P34" s="1446" t="inlineStr">
        <is>
          <t>Extract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>Hop dosering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"Automatische dosering:","receptuur additieven")</f>
        <v/>
      </c>
      <c r="J35" s="1114" t="n"/>
      <c r="K35" s="1114" t="n"/>
      <c r="L35" s="1115" t="n"/>
      <c r="M35" s="1541">
        <f>IF(LEFT(A1,2)="WP", "Zuur [L]","hoeveel&amp;wanneer")</f>
        <v/>
      </c>
      <c r="N35" s="1541">
        <f>IF(LEFT(A1,2)="WP", "Tannines [L]","paraaf")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>Hopgift</t>
        </is>
      </c>
      <c r="B36" s="1224" t="n"/>
      <c r="C36" s="1384">
        <f>'Recept-voorblad'!G43</f>
        <v/>
      </c>
      <c r="D36" s="1469" t="inlineStr">
        <is>
          <t>min</t>
        </is>
      </c>
      <c r="E36" s="1546">
        <f>IF(A36=" "," ", "doseerpunt")</f>
        <v/>
      </c>
      <c r="F36" s="1223" t="n"/>
      <c r="G36" s="1224" t="n"/>
      <c r="H36" s="1478">
        <f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1547">
        <f>IF(LEFT(A1,2)="WP","Inmaischen",'Recept-voorblad'!A73)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>Werkelijke rust tijd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","Hopgift")</f>
        <v/>
      </c>
      <c r="B37" s="1178" t="n"/>
      <c r="C37" s="1402">
        <f t="array" ref="C37:C37">IFERROR(INDEX('Recept-voorblad'!G43:G57,MATCH(FALSE(),'Recept-voorblad'!G43:G57= C36,0)),"")</f>
        <v/>
      </c>
      <c r="D37" s="1478">
        <f>IF(C37=""," ","min")</f>
        <v/>
      </c>
      <c r="E37" s="1558">
        <f>IF(A37=" "," ", "doseerpunt")</f>
        <v/>
      </c>
      <c r="F37" s="1177" t="n"/>
      <c r="G37" s="1178" t="n"/>
      <c r="H37" s="1478">
        <f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1559">
        <f>IF(LEFT(A1,2)="WP", "Koken",'Recept-voorblad'!A74)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>Beluchting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","Hopgift")</f>
        <v/>
      </c>
      <c r="B38" s="1178" t="n"/>
      <c r="C38" s="1567">
        <f t="array" ref="C38:C38">IFERROR(INDEX('Recept-voorblad'!G43:G57,MATCH(1,('Recept-voorblad'!G43:G57&lt;C37)*('Recept-voorblad'!G43:G57&lt;C36),0)),"")</f>
        <v/>
      </c>
      <c r="D38" s="1478">
        <f>IF(C38=""," ","min")</f>
        <v/>
      </c>
      <c r="E38" s="1558">
        <f>IF(A38=" "," ", "doseerpunt")</f>
        <v/>
      </c>
      <c r="F38" s="1177" t="n"/>
      <c r="G38" s="1178" t="n"/>
      <c r="H38" s="1478">
        <f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1568">
        <f>IF(LEFT(A1,2)="WP", "Inline sparge",'Recept-voorblad'!A75)</f>
        <v/>
      </c>
      <c r="L38" s="1083" t="n"/>
      <c r="M38" s="1561" t="n"/>
      <c r="N38" s="1561" t="n"/>
      <c r="O38" s="1178" t="n"/>
      <c r="P38" s="1369" t="inlineStr">
        <is>
          <t>Water additie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","Hopgift")</f>
        <v/>
      </c>
      <c r="B39" s="1178" t="n"/>
      <c r="C39" s="1567">
        <f t="array" ref="C39:C39">IFERROR(INDEX('Recept-voorblad'!G44:G58,MATCH(1,('Recept-voorblad'!G44:G58&lt;C38)*('Recept-voorblad'!G44:G58&lt;C37),0)),"")</f>
        <v/>
      </c>
      <c r="D39" s="1478">
        <f>IF(C39=""," ","min")</f>
        <v/>
      </c>
      <c r="E39" s="1558">
        <f>IF(A39=" "," ", "doseerpunt")</f>
        <v/>
      </c>
      <c r="F39" s="1177" t="n"/>
      <c r="G39" s="1178" t="n"/>
      <c r="H39" s="1478">
        <f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1568">
        <f>IF(LEFT(A1,2)="WP", " ",'Recept-voorblad'!A76)</f>
        <v/>
      </c>
      <c r="L39" s="1083" t="n"/>
      <c r="M39" s="1561">
        <f>IF(LEFT(A1,2)="WP"," ",'Recept-voorblad'!E76&amp;" "&amp;'Recept-voorblad'!I76)</f>
        <v/>
      </c>
      <c r="N39" s="1561" t="n"/>
      <c r="O39" s="1178" t="n"/>
      <c r="P39" s="1369" t="inlineStr">
        <is>
          <t>Volume brouwsel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","Hopgift")</f>
        <v/>
      </c>
      <c r="B40" s="1178" t="n"/>
      <c r="C40" s="1567">
        <f t="array" ref="C40:C40">IFERROR(INDEX('Recept-voorblad'!G45:G59,MATCH(1,('Recept-voorblad'!G45:G59&lt;C39)*('Recept-voorblad'!G45:G59&lt;C38),0)),"")</f>
        <v/>
      </c>
      <c r="D40" s="1478">
        <f>IF(C40=""," ","min")</f>
        <v/>
      </c>
      <c r="E40" s="1558">
        <f>IF(A40=" "," ", "doseerpunt")</f>
        <v/>
      </c>
      <c r="F40" s="1177" t="n"/>
      <c r="G40" s="1178" t="n"/>
      <c r="H40" s="1478">
        <f>IFERROR(INDEX('Recept-voorblad'!G46:Q60,MATCH(Brouwen!C40,'Recept-voorblad'!G46:G60,0),11),"")</f>
        <v/>
      </c>
      <c r="I40" s="1568">
        <f>IF(LEFT(A1,2)="WP", " ",'Recept-voorblad'!A77)</f>
        <v/>
      </c>
      <c r="L40" s="1083" t="n"/>
      <c r="M40" s="1561">
        <f>IF(LEFT(A1,2)="WP"," ",'Recept-voorblad'!E77&amp;" "&amp;'Recept-voorblad'!I77)</f>
        <v/>
      </c>
      <c r="N40" s="1561" t="n"/>
      <c r="O40" s="1178" t="n"/>
      <c r="P40" s="1580" t="inlineStr">
        <is>
          <t>Volume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","Hopgift")</f>
        <v/>
      </c>
      <c r="B41" s="1178" t="n"/>
      <c r="C41" s="1567">
        <f t="array" ref="C41:C41">IFERROR(INDEX('Recept-voorblad'!G46:G60,MATCH(1,('Recept-voorblad'!G46:G60&lt;C40)*('Recept-voorblad'!G46:G60&lt;C39),0)),"")</f>
        <v/>
      </c>
      <c r="D41" s="1478">
        <f>IF(C41=""," ","min")</f>
        <v/>
      </c>
      <c r="E41" s="1558">
        <f>IF(A41=" "," ", "doseerpunt")</f>
        <v/>
      </c>
      <c r="F41" s="1177" t="n"/>
      <c r="G41" s="1178" t="n"/>
      <c r="H41" s="1478">
        <f>IFERROR(INDEX('Recept-voorblad'!G47:Q61,MATCH(Brouwen!C41,'Recept-voorblad'!G47:G61,0),11),"")</f>
        <v/>
      </c>
      <c r="I41" s="1568">
        <f>IF(LEFT(A1,2)="WP", " ",'Recept-voorblad'!A78)</f>
        <v/>
      </c>
      <c r="L41" s="1083" t="n"/>
      <c r="M41" s="1561">
        <f>IF(LEFT(A1,2)="WP"," ",'Recept-voorblad'!E78&amp;" "&amp;'Recept-voorblad'!I78)</f>
        <v/>
      </c>
      <c r="N41" s="1561" t="n"/>
      <c r="O41" s="1178" t="n"/>
      <c r="P41" s="1580" t="inlineStr">
        <is>
          <t>Extract Tank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","Hopgift")</f>
        <v/>
      </c>
      <c r="B42" s="1178" t="n"/>
      <c r="C42" s="1567">
        <f t="array" ref="C42:C42">IFERROR(INDEX('Recept-voorblad'!G47:G61,MATCH(1,('Recept-voorblad'!G47:G61&lt;C41)*('Recept-voorblad'!G47:G61&lt;C40)*('Recept-voorblad'!G47:G61&lt;C39),0)),"")</f>
        <v/>
      </c>
      <c r="D42" s="1585">
        <f>IF(C42=""," ","min")</f>
        <v/>
      </c>
      <c r="E42" s="1558">
        <f>IF(A42=" "," ", "doseerpunt")</f>
        <v/>
      </c>
      <c r="F42" s="1177" t="n"/>
      <c r="G42" s="1178" t="n"/>
      <c r="H42" s="1478">
        <f>IFERROR(INDEX('Recept-voorblad'!G48:Q62,MATCH(Brouwen!C42,'Recept-voorblad'!G48:G62,0),11),"")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>Opmerkingen 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>Droge Gist enting:</t>
        </is>
      </c>
      <c r="L43" s="1114" t="n"/>
      <c r="M43" s="1114" t="n"/>
      <c r="N43" s="1114" t="n"/>
      <c r="O43" s="1115" t="n"/>
      <c r="P43" s="1580" t="inlineStr">
        <is>
          <t>Einde brouwen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>Temp start</t>
        </is>
      </c>
      <c r="L44" s="1075" t="n"/>
      <c r="M44" s="1076" t="n"/>
      <c r="N44" s="1595">
        <f>'Recept-voorblad'!F21</f>
        <v/>
      </c>
      <c r="O44" s="1224" t="n"/>
      <c r="P44" s="1596" t="inlineStr">
        <is>
          <t>Totale tijd brouwen</t>
        </is>
      </c>
      <c r="Q44" s="1597" t="n"/>
      <c r="R44" s="1597" t="n"/>
      <c r="S44" s="1598">
        <f>IF(LEFT(A1,2)="WP",S43-S6,(S43-S6)-S49)</f>
        <v/>
      </c>
      <c r="T44" s="1599" t="inlineStr">
        <is>
          <t>uur</t>
        </is>
      </c>
      <c r="U44" s="1598">
        <f>IF(LEFT(A1,2)="WP",U43-U6,(U43-U6)-U49)</f>
        <v/>
      </c>
      <c r="V44" s="1599" t="inlineStr">
        <is>
          <t>uur</t>
        </is>
      </c>
      <c r="W44" s="1598">
        <f>IF(LEFT(A1,2)="WP",W43-W6,(W43-W6)-W49)</f>
        <v/>
      </c>
      <c r="X44" s="1599" t="inlineStr">
        <is>
          <t>uur</t>
        </is>
      </c>
      <c r="Y44" s="1598">
        <f>IF(LEFT(A1,2)="WP",Y43-Y6,(Y43-Y6)-Y49)</f>
        <v/>
      </c>
      <c r="Z44" s="1599" t="inlineStr">
        <is>
          <t>uur</t>
        </is>
      </c>
      <c r="AA44" s="1598">
        <f>IF(LEFT(A1,2)="WP",AA43-AA6,(AA43-AA6)-AA49)</f>
        <v/>
      </c>
      <c r="AB44" s="1599" t="inlineStr">
        <is>
          <t>uur</t>
        </is>
      </c>
      <c r="AC44" s="1598">
        <f>IF(LEFT(A1,2)="WP",AC43-AC6,(AC43-AC6)-AC49)</f>
        <v/>
      </c>
      <c r="AD44" s="1599" t="inlineStr">
        <is>
          <t>uur</t>
        </is>
      </c>
      <c r="AE44" s="1598">
        <f>IF(LEFT(A1,2)="WP",AE43-AE6,(AE43-AE6)-AE49)</f>
        <v/>
      </c>
      <c r="AF44" s="1599" t="inlineStr">
        <is>
          <t>uur</t>
        </is>
      </c>
      <c r="AG44" s="1598">
        <f>IF(LEFT(A1,2)="WP",AG43-AG6,(AG43-AG6)-AG49)</f>
        <v/>
      </c>
      <c r="AH44" s="1599" t="inlineStr">
        <is>
          <t>uur</t>
        </is>
      </c>
      <c r="AI44" s="1598">
        <f>IF(LEFT(A1,2)="WP",AI43-AI6,(AI43-AI6)-AI49)</f>
        <v/>
      </c>
      <c r="AJ44" s="1599" t="inlineStr">
        <is>
          <t>uur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>Temp max</t>
        </is>
      </c>
      <c r="M45" s="1083" t="n"/>
      <c r="N45" s="1601">
        <f>'Recept-voorblad'!F22</f>
        <v/>
      </c>
      <c r="O45" s="1178" t="n"/>
      <c r="P45" s="1602">
        <f>IF(LEFT(A1,2)="WP", " ","Beluchtingsfilter gestoomd?")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>Giststam</t>
        </is>
      </c>
      <c r="M46" s="1083" t="n"/>
      <c r="N46" s="1609">
        <f>SUBSTITUTE('Recept-voorblad'!A85&amp;IF('Recept-voorblad'!A86=0,"",'Recept-voorblad'!A86),"(g/brew)"," ")</f>
        <v/>
      </c>
      <c r="O46" s="1178" t="n"/>
      <c r="P46" s="1602">
        <f>IF(LEFT(A1,2)="WP", " ","Wortline gesteriliseerd?")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>Gerehydrateerd?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>Gewicht [gram]</t>
        </is>
      </c>
      <c r="M48" s="1083" t="n"/>
      <c r="N48" s="1617">
        <f>'Recept-voorblad'!G85+IF('Recept-voorblad'!G86="",0,'Recept-voorblad'!G86)</f>
        <v/>
      </c>
      <c r="O48" s="1178" t="n"/>
      <c r="P48" s="1602">
        <f>IF(LEFT(A1,2)="WP", " ","Bostelbak nummer")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>Bij 1e brouwsel</t>
        </is>
      </c>
      <c r="M49" s="1083" t="n"/>
      <c r="N49" s="1615" t="n"/>
      <c r="O49" s="1178" t="n"/>
      <c r="P49" s="1602">
        <f>IF(LEFT(A1,2)="WP", " ","Pauze  in process (uu:mm)")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>Geënt op (datum):</t>
        </is>
      </c>
      <c r="M50" s="1083" t="n"/>
      <c r="N50" s="1623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>Door: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>Programma aan?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'Recept-voorblad'!$T$15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1639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1639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1639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1639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1639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1639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1639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1639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1639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>Specificaties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CHOOSE(WEEKDAY(H4),"Zondag","Maandag","Dinsdag","Woensdag","Donderdag","Vrijdag","Zaterdag")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'Recept-voorblad'!F12</f>
        <v/>
      </c>
      <c r="P3" s="1670">
        <f>'Recept-voorblad'!E12</f>
        <v/>
      </c>
      <c r="Q3" s="1671" t="inlineStr">
        <is>
          <t>Lager temp,</t>
        </is>
      </c>
      <c r="R3" s="1672" t="n"/>
      <c r="S3" s="1657" t="inlineStr">
        <is>
          <t>°C</t>
        </is>
      </c>
      <c r="T3" s="1669">
        <f>'Recept-voorblad'!M23</f>
        <v/>
      </c>
      <c r="U3" s="1673" t="n"/>
      <c r="V3" s="1670" t="n"/>
      <c r="X3" s="1674">
        <f>IF(COUNTIF('Recept-voorblad'!G58:I63,"warm")&gt;0,IF(SUMIF('Recept-voorblad'!G58:P63,"warm",'Recept-voorblad'!P58:P63)= "&gt;65000","Dry hop methode= "&amp;"warm hopsteiner","Dry hop methode=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'Recept-voorblad'!C3</f>
        <v/>
      </c>
      <c r="B4" s="1676" t="n"/>
      <c r="C4" s="1677" t="n"/>
      <c r="D4" s="1678">
        <f>Brouwen!I5</f>
        <v/>
      </c>
      <c r="E4" s="1679" t="n"/>
      <c r="H4" s="1680">
        <f>TODAY()</f>
        <v/>
      </c>
      <c r="K4" s="1681">
        <f>'Recept-voorblad'!A23</f>
        <v/>
      </c>
      <c r="L4" s="1078" t="n"/>
      <c r="M4" s="1087" t="n"/>
      <c r="N4" s="1682" t="inlineStr">
        <is>
          <t>°C</t>
        </is>
      </c>
      <c r="O4" s="1683">
        <f>'Recept-voorblad'!F23</f>
        <v/>
      </c>
      <c r="P4" s="1684">
        <f>'Recept-voorblad'!E23</f>
        <v/>
      </c>
      <c r="Q4" s="1685" t="inlineStr">
        <is>
          <t>Lagering time</t>
        </is>
      </c>
      <c r="R4" s="1686" t="n"/>
      <c r="S4" s="1687" t="inlineStr">
        <is>
          <t>days</t>
        </is>
      </c>
      <c r="T4" s="1688">
        <f>'Recept-voorblad'!M22</f>
        <v/>
      </c>
      <c r="U4" s="1689" t="n"/>
      <c r="V4" s="1690" t="n"/>
      <c r="X4" s="1691">
        <f>ROUND(SUMIF('Recept-voorblad'!G55:P60,"warm",'Recept-voorblad'!P55:P60)/1000,1)&amp;"  kilogram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>Temp, Warm dryhop 1</t>
        </is>
      </c>
      <c r="L5" s="1078" t="n"/>
      <c r="M5" s="1087" t="n"/>
      <c r="N5" s="1682" t="inlineStr">
        <is>
          <t>°C</t>
        </is>
      </c>
      <c r="O5" s="1683">
        <f>'Recept-voorblad'!F24</f>
        <v/>
      </c>
      <c r="P5" s="1684">
        <f>'Recept-voorblad'!E24</f>
        <v/>
      </c>
      <c r="Q5" s="1685" t="inlineStr">
        <is>
          <t>Rest extract</t>
        </is>
      </c>
      <c r="R5" s="1686" t="n"/>
      <c r="S5" s="1687" t="inlineStr">
        <is>
          <t>°P</t>
        </is>
      </c>
      <c r="T5" s="1683">
        <f>'Recept-voorblad'!F13</f>
        <v/>
      </c>
      <c r="U5" s="1697">
        <f>'Recept-voorblad'!E13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>Extract warm dryhop 1</t>
        </is>
      </c>
      <c r="L6" s="1078" t="n"/>
      <c r="M6" s="1087" t="n"/>
      <c r="N6" s="1682" t="inlineStr">
        <is>
          <t>°P</t>
        </is>
      </c>
      <c r="O6" s="1683">
        <f>'Recept-voorblad'!F25</f>
        <v/>
      </c>
      <c r="P6" s="1684">
        <f>'Recept-voorblad'!E25</f>
        <v/>
      </c>
      <c r="Q6" s="1685" t="inlineStr">
        <is>
          <t>pH end product</t>
        </is>
      </c>
      <c r="R6" s="1686" t="n"/>
      <c r="S6" s="1687" t="n"/>
      <c r="T6" s="1683">
        <f>'Recept-voorblad'!F17</f>
        <v/>
      </c>
      <c r="U6" s="1697">
        <f>'Recept-voorblad'!E17</f>
        <v/>
      </c>
      <c r="V6" s="1690" t="n"/>
      <c r="X6" s="1674">
        <f>IF(COUNTIF('Recept-voorblad'!G58:I63," @16C")&gt;0,IF(SUMIF('Recept-voorblad'!G58:P63," @16C",'Recept-voorblad'!P58:P63)= "&gt;65000","Dry hop methode= "&amp;"@16C hopsteiner","Dry hop methode=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>Extract warm dryhop 2</t>
        </is>
      </c>
      <c r="L7" s="1078" t="n"/>
      <c r="M7" s="1087" t="n"/>
      <c r="N7" s="1682" t="inlineStr">
        <is>
          <t>°P</t>
        </is>
      </c>
      <c r="O7" s="1683">
        <f>'Recept-voorblad'!F26</f>
        <v/>
      </c>
      <c r="P7" s="1690">
        <f>'Recept-voorblad'!E26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'Recept-voorblad'!F14</f>
        <v/>
      </c>
      <c r="U7" s="1704">
        <f>'Recept-voorblad'!E14</f>
        <v/>
      </c>
      <c r="V7" s="1705" t="n"/>
      <c r="X7" s="1691">
        <f>ROUND(SUMIF('Recept-voorblad'!G58:P63," @16C",'Recept-voorblad'!P58:P63)/1000,1)&amp;"  kilogram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>Bier risico</t>
        </is>
      </c>
      <c r="C8" s="1316" t="n"/>
      <c r="D8" s="1351" t="inlineStr">
        <is>
          <t>Bier status</t>
        </is>
      </c>
      <c r="E8" s="1316" t="n"/>
      <c r="K8" s="1681" t="inlineStr">
        <is>
          <t>Extract warm dryhop 3</t>
        </is>
      </c>
      <c r="L8" s="1078" t="n"/>
      <c r="M8" s="1087" t="n"/>
      <c r="N8" s="1682" t="inlineStr">
        <is>
          <t>°P</t>
        </is>
      </c>
      <c r="O8" s="1683">
        <f>'Recept-voorblad'!F27</f>
        <v/>
      </c>
      <c r="P8" s="1690">
        <f>'Recept-voorblad'!E27</f>
        <v/>
      </c>
      <c r="Q8" s="1707" t="inlineStr">
        <is>
          <t>Berekeningen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'Recept-voorblad'!N17</f>
        <v/>
      </c>
      <c r="C9" s="1107" t="n"/>
      <c r="D9" s="1142">
        <f>'Recept-voorblad'!N23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'Recept-voorblad'!M21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>Dagen</t>
        </is>
      </c>
      <c r="B12" s="1718" t="inlineStr">
        <is>
          <t>Plato</t>
        </is>
      </c>
      <c r="C12" s="1719" t="inlineStr">
        <is>
          <t>Temp Hoog</t>
        </is>
      </c>
      <c r="D12" s="1719" t="inlineStr">
        <is>
          <t>Temp Laag</t>
        </is>
      </c>
      <c r="E12" s="1720" t="inlineStr">
        <is>
          <t>pH</t>
        </is>
      </c>
      <c r="F12" s="1721" t="inlineStr">
        <is>
          <t>div,</t>
        </is>
      </c>
      <c r="G12" s="1722" t="inlineStr">
        <is>
          <t>Timer</t>
        </is>
      </c>
      <c r="H12" s="1723" t="inlineStr">
        <is>
          <t>Plato afname</t>
        </is>
      </c>
      <c r="I12" s="1724" t="inlineStr">
        <is>
          <t>Tijd tussen meting</t>
        </is>
      </c>
      <c r="J12" s="1718" t="inlineStr">
        <is>
          <t>Datum</t>
        </is>
      </c>
      <c r="K12" s="1719" t="inlineStr">
        <is>
          <t>Tijd</t>
        </is>
      </c>
      <c r="L12" s="1719" t="inlineStr">
        <is>
          <t>Actie</t>
        </is>
      </c>
      <c r="M12" s="1725" t="n"/>
      <c r="N12" s="1726" t="n"/>
      <c r="O12" s="1719" t="inlineStr">
        <is>
          <t>Opmerkingen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1729" t="n"/>
      <c r="D13" s="1729" t="n"/>
      <c r="E13" s="1730">
        <f>IF(Brouwen!S35="","",AVERAGE(Brouwen!S35,Brouwen!U35,Brouwen!W35,Brouwen!Y35,Brouwen!AA35,Brouwen!AC35,Brouwen!AE35,Brouwen!AG35,Brouwen!AI35))</f>
        <v/>
      </c>
      <c r="F13" s="1661" t="n"/>
      <c r="G13" s="1731" t="n"/>
      <c r="H13" s="1732" t="n"/>
      <c r="I13" s="1663" t="n"/>
      <c r="J13" s="1733">
        <f>TRUNC(IF(Brouwen!AG6="",IF(Brouwen!AE6="",IF(Brouwen!AC6="",IF(Brouwen!AA6="",IF(Brouwen!Y6="",IF(Brouwen!W6="",IF(Brouwen!U6="",Brouwen!S6,Brouwen!U6),Brouwen!W6),Brouwen!Y6),Brouwen!AA6),Brouwen!AC6),Brouwen!AE6),Brouwen!AG6))</f>
        <v/>
      </c>
      <c r="K13" s="1734" t="n"/>
      <c r="L13" s="1729" t="n"/>
      <c r="M13" s="1735" t="n"/>
      <c r="N13" s="1736" t="n"/>
      <c r="O13" s="1729" t="inlineStr">
        <is>
          <t>laatste brouwsel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IF('Recept-voorblad'!I89="-","-",'Recept-voorblad'!E89&amp;" "&amp;'Recept-voorblad'!A89&amp;" @"&amp;'Recept-voorblad'!I89)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IF('Recept-voorblad'!I90="-","-",'Recept-voorblad'!E90&amp;" "&amp;'Recept-voorblad'!A90&amp;" @"&amp;'Recept-voorblad'!I90)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IF('Recept-voorblad'!I91="-","-",'Recept-voorblad'!E91&amp;" "&amp;'Recept-voorblad'!A91&amp;" @"&amp;'Recept-voorblad'!I91)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IF('Recept-voorblad'!I92="-","-",'Recept-voorblad'!E92&amp;" "&amp;'Recept-voorblad'!A92&amp;" @"&amp;'Recept-voorblad'!I92)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IF('Recept-voorblad'!I93="-","-",'Recept-voorblad'!E93&amp;" "&amp;'Recept-voorblad'!A93&amp;" @"&amp;'Recept-voorblad'!I93)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>datum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>dryhopping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>koelen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>toevoeging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>sample naar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'Recept-voorblad'!G7*'Recept-voorblad'!C9*100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VLOOKUP("*Nagardo*",'Recept-voorblad'!A89:H93,5,FALSE())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'Recept-voorblad'!E90*(AA53/100)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sqref="L13:N1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>Verwerking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'Gistkaart Invoer'!A4</f>
        <v/>
      </c>
      <c r="H3" s="1083" t="n"/>
      <c r="I3" s="1830" t="inlineStr">
        <is>
          <t>Batchnummer:</t>
        </is>
      </c>
      <c r="J3" s="1078" t="n"/>
      <c r="K3" s="1078" t="n"/>
      <c r="L3" s="1831">
        <f>'Recept-voorblad'!K3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Specificaties 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>spec,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>spec,</t>
        </is>
      </c>
      <c r="O6" s="1846" t="inlineStr">
        <is>
          <t>+/-</t>
        </is>
      </c>
      <c r="P6" s="1847">
        <f>'Recept-voorblad'!N17</f>
        <v/>
      </c>
      <c r="Q6" s="1075" t="n"/>
      <c r="R6" s="1076" t="n"/>
      <c r="S6" s="1848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'Recept-voorblad'!M25</f>
        <v/>
      </c>
      <c r="F7" s="1076" t="n"/>
      <c r="G7" s="1852">
        <f>'Recept-voorblad'!L25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'Recept-voorblad'!M13</f>
        <v/>
      </c>
      <c r="O7" s="1855">
        <f>'Recept-voorblad'!L13-0.1</f>
        <v/>
      </c>
      <c r="P7" s="1160" t="n"/>
      <c r="R7" s="1083" t="n"/>
      <c r="S7" s="1848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'Recept-voorblad'!M24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'Recept-voorblad'!M15</f>
        <v/>
      </c>
      <c r="O8" s="1855">
        <f>'Recept-voorblad'!L15+0.2</f>
        <v/>
      </c>
      <c r="P8" s="1160" t="n"/>
      <c r="R8" s="1083" t="n"/>
      <c r="S8" s="1848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'Recept-voorblad'!M14</f>
        <v/>
      </c>
      <c r="O9" s="1863">
        <f>'Recept-voorblad'!L14-0.1</f>
        <v/>
      </c>
      <c r="P9" s="1079" t="n"/>
      <c r="Q9" s="1080" t="n"/>
      <c r="R9" s="1081" t="n"/>
      <c r="S9" s="1848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>Verwerking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1105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1105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1105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>Volume Mooie Nel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>Alcohol Mooie Nel -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>Standpijp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>Gewenste alcohol Super Dupa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>Flow [hl/u]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>Made from batch Mooie Nel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>Dosing  (from recept-voorblad)</t>
        </is>
      </c>
      <c r="T36" s="1602" t="n"/>
      <c r="U36" s="1939" t="n"/>
      <c r="V36" s="1763">
        <f>VLOOKUP("*Nagardo*",'Recept-voorblad'!$A$89:$H$93,5,FALSE())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'Recept-voorblad'!$E$90*(V35/100*100)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>Dosing  (from recept-voorblad)</t>
        </is>
      </c>
      <c r="T50" s="1602" t="n"/>
      <c r="U50" s="1602" t="n"/>
      <c r="V50" s="1763">
        <f>VLOOKUP("*Nagardo*",'Recept-voorblad'!$A$89:$H$93,5,FALSE())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'Recept-voorblad'!$E$90*(V49/100*100)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"Bodemklep,Standpijp"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>Afvullen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>Naam bier</t>
        </is>
      </c>
      <c r="B3" s="1076" t="n"/>
      <c r="C3" s="1355">
        <f>Verwerking!C3</f>
        <v/>
      </c>
      <c r="D3" s="1981" t="inlineStr">
        <is>
          <t>Batchnummer:</t>
        </is>
      </c>
      <c r="E3" s="1982">
        <f>'Recept-voorblad'!K3</f>
        <v/>
      </c>
      <c r="F3" s="1075" t="n"/>
      <c r="G3" s="1076" t="n"/>
      <c r="H3" s="1983" t="n"/>
      <c r="I3" s="1984" t="inlineStr">
        <is>
          <t>Afvullingen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>Productie opdracht specificaties</t>
        </is>
      </c>
      <c r="B5" s="1986" t="n"/>
      <c r="C5" s="1986" t="n"/>
      <c r="D5" s="1987" t="inlineStr">
        <is>
          <t>controleur</t>
        </is>
      </c>
      <c r="E5" s="1988" t="inlineStr">
        <is>
          <t>Bier risico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>Datum</t>
        </is>
      </c>
      <c r="N5" s="1991" t="inlineStr">
        <is>
          <t>Datum</t>
        </is>
      </c>
      <c r="O5" s="1991" t="inlineStr">
        <is>
          <t>Datum</t>
        </is>
      </c>
      <c r="P5" s="1991" t="inlineStr">
        <is>
          <t>Datum</t>
        </is>
      </c>
      <c r="Q5" s="1991" t="inlineStr">
        <is>
          <t>Datum</t>
        </is>
      </c>
      <c r="R5" s="1991" t="inlineStr">
        <is>
          <t>Datum</t>
        </is>
      </c>
    </row>
    <row r="6" ht="15.75" customFormat="1" customHeight="1" s="1099">
      <c r="A6" s="1992" t="inlineStr">
        <is>
          <t>EAN doos fles 24x33cl:</t>
        </is>
      </c>
      <c r="B6" s="1115" t="n"/>
      <c r="C6" s="1993" t="n"/>
      <c r="D6" s="1994" t="n"/>
      <c r="E6" s="1995">
        <f>'Recept-voorblad'!N17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>EAN doos fles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>HBT nr</t>
        </is>
      </c>
      <c r="N7" s="1991" t="inlineStr">
        <is>
          <t>HBT nr</t>
        </is>
      </c>
      <c r="O7" s="1991" t="inlineStr">
        <is>
          <t>HBT nr</t>
        </is>
      </c>
      <c r="P7" s="1991" t="inlineStr">
        <is>
          <t>HBT nr</t>
        </is>
      </c>
      <c r="Q7" s="1991" t="inlineStr">
        <is>
          <t>HBT nr</t>
        </is>
      </c>
      <c r="R7" s="1991" t="inlineStr">
        <is>
          <t>HBT nr</t>
        </is>
      </c>
    </row>
    <row r="8" ht="15.75" customFormat="1" customHeight="1" s="1099">
      <c r="A8" s="1992" t="inlineStr">
        <is>
          <t>EAN doos blik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>EAN doos blik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>Start Afvul</t>
        </is>
      </c>
      <c r="N9" s="1291" t="inlineStr">
        <is>
          <t>Start Afvul</t>
        </is>
      </c>
      <c r="O9" s="1291" t="inlineStr">
        <is>
          <t>Start Afvul</t>
        </is>
      </c>
      <c r="P9" s="1291" t="inlineStr">
        <is>
          <t>Start Afvul</t>
        </is>
      </c>
      <c r="Q9" s="1291" t="inlineStr">
        <is>
          <t>Start Afvul</t>
        </is>
      </c>
      <c r="R9" s="1291" t="inlineStr">
        <is>
          <t>Start Afvul</t>
        </is>
      </c>
    </row>
    <row r="10" ht="15.75" customFormat="1" customHeight="1" s="1099">
      <c r="A10" s="1992" t="inlineStr">
        <is>
          <t>Codering fles: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>Codering blik: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>Einde Afvul</t>
        </is>
      </c>
      <c r="N11" s="2002" t="inlineStr">
        <is>
          <t>Einde Afvul</t>
        </is>
      </c>
      <c r="O11" s="2002" t="inlineStr">
        <is>
          <t>Einde Afvul</t>
        </is>
      </c>
      <c r="P11" s="2002" t="inlineStr">
        <is>
          <t>Einde Afvul</t>
        </is>
      </c>
      <c r="Q11" s="2002" t="inlineStr">
        <is>
          <t>Einde Afvul</t>
        </is>
      </c>
      <c r="R11" s="2002" t="inlineStr">
        <is>
          <t>Einde Afvul</t>
        </is>
      </c>
    </row>
    <row r="12" ht="15.75" customFormat="1" customHeight="1" s="1099">
      <c r="A12" s="1992" t="inlineStr">
        <is>
          <t>Codering vat: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>Dag nummer</t>
        </is>
      </c>
      <c r="C13" s="2003">
        <f>TODAY()-DATE(2023,12,31)</f>
        <v/>
      </c>
      <c r="D13" s="2000" t="n"/>
      <c r="H13" s="1217" t="n"/>
      <c r="I13" s="2005" t="inlineStr">
        <is>
          <t>Afgevuld door: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>Productie opdracht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>Fles Afvul 1,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>Flessoort:</t>
        </is>
      </c>
      <c r="B16" s="2012" t="n"/>
      <c r="C16" s="1904" t="n"/>
      <c r="D16" s="2013" t="inlineStr">
        <is>
          <t>Doossoort:</t>
        </is>
      </c>
      <c r="E16" s="1904" t="n"/>
      <c r="F16" s="1315" t="n"/>
      <c r="G16" s="1316" t="n"/>
      <c r="H16" s="1095" t="n"/>
      <c r="I16" s="2014" t="inlineStr">
        <is>
          <t>Monstername door: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>Etiketten:</t>
        </is>
      </c>
      <c r="B17" s="2012" t="n"/>
      <c r="C17" s="1904" t="n"/>
      <c r="D17" s="2013" t="inlineStr">
        <is>
          <t>Codering doos:</t>
        </is>
      </c>
      <c r="E17" s="1904" t="n"/>
      <c r="F17" s="1904" t="n"/>
      <c r="G17" s="1904" t="n"/>
      <c r="H17" s="2004" t="n"/>
      <c r="I17" s="2015" t="inlineStr">
        <is>
          <t>Controle 1e verpakking (twee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>Codering fles:</t>
        </is>
      </c>
      <c r="B18" s="2012" t="n"/>
      <c r="C18" s="1904" t="n"/>
      <c r="D18" s="2013" t="inlineStr">
        <is>
          <t>Ean code doos:</t>
        </is>
      </c>
      <c r="E18" s="1904" t="n"/>
      <c r="F18" s="1904" t="n"/>
      <c r="G18" s="1904" t="n"/>
      <c r="H18" s="1217" t="n"/>
      <c r="I18" s="2014" t="inlineStr">
        <is>
          <t>Vulpijp-detectiecontrole 1e verpakking: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>Kroonkurk:</t>
        </is>
      </c>
      <c r="B19" s="2015" t="n"/>
      <c r="C19" s="1904" t="n"/>
      <c r="D19" s="2016" t="inlineStr">
        <is>
          <t>Logo doos:</t>
        </is>
      </c>
      <c r="E19" s="2017" t="n"/>
      <c r="F19" s="2017" t="n"/>
      <c r="G19" s="2017" t="n"/>
      <c r="H19" s="1217" t="n"/>
      <c r="I19" s="2015" t="inlineStr">
        <is>
          <t>Vulpijp-detectiecontrole einde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>Fles Afvul 2,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>Klapflessen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>Flessoort:</t>
        </is>
      </c>
      <c r="B21" s="2012" t="n"/>
      <c r="C21" s="1904" t="n"/>
      <c r="D21" s="2013" t="inlineStr">
        <is>
          <t>Doossoort:</t>
        </is>
      </c>
      <c r="E21" s="2018" t="n"/>
      <c r="F21" s="2019" t="n"/>
      <c r="G21" s="1906" t="n"/>
      <c r="H21" s="1095" t="n"/>
      <c r="I21" s="2020" t="inlineStr">
        <is>
          <t>Klapfles beheerst?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>Etiketten:</t>
        </is>
      </c>
      <c r="B22" s="2012" t="n"/>
      <c r="C22" s="1904" t="n"/>
      <c r="D22" s="2013" t="inlineStr">
        <is>
          <t>Codering doos: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>Codering fles:</t>
        </is>
      </c>
      <c r="B23" s="2012" t="n"/>
      <c r="C23" s="1904" t="n"/>
      <c r="D23" s="2013" t="inlineStr">
        <is>
          <t>Ean code doos: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>spec,</t>
        </is>
      </c>
      <c r="L23" s="2024" t="inlineStr">
        <is>
          <t>+/-</t>
        </is>
      </c>
      <c r="M23" s="2025" t="inlineStr">
        <is>
          <t>waarde</t>
        </is>
      </c>
      <c r="N23" s="2026" t="inlineStr">
        <is>
          <t>waarde</t>
        </is>
      </c>
      <c r="O23" s="2026" t="inlineStr">
        <is>
          <t>waarde</t>
        </is>
      </c>
      <c r="P23" s="2026" t="inlineStr">
        <is>
          <t>waarde</t>
        </is>
      </c>
      <c r="Q23" s="2026" t="inlineStr">
        <is>
          <t>waarde</t>
        </is>
      </c>
      <c r="R23" s="2026" t="inlineStr">
        <is>
          <t>waarde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>Kroonkurk:</t>
        </is>
      </c>
      <c r="B24" s="2015" t="n"/>
      <c r="C24" s="1904" t="n"/>
      <c r="D24" s="2016" t="inlineStr">
        <is>
          <t>Logo doos:</t>
        </is>
      </c>
      <c r="E24" s="2017" t="n"/>
      <c r="F24" s="2017" t="n"/>
      <c r="G24" s="2017" t="n"/>
      <c r="H24" s="1095" t="n"/>
      <c r="I24" s="1383" t="inlineStr">
        <is>
          <t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>Fles Afvul 3,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>TPO Fles / Can 1</t>
        </is>
      </c>
      <c r="J25" s="1983" t="inlineStr">
        <is>
          <t>[ppb]</t>
        </is>
      </c>
      <c r="K25" s="1131">
        <f>'Recept-voorblad'!$M$16+'Recept-voorblad'!$M$17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>Flessoort:</t>
        </is>
      </c>
      <c r="B26" s="2012" t="n"/>
      <c r="C26" s="1904" t="n"/>
      <c r="D26" s="2013" t="inlineStr">
        <is>
          <t>Doossoort:</t>
        </is>
      </c>
      <c r="E26" s="2018" t="n"/>
      <c r="F26" s="2019" t="n"/>
      <c r="G26" s="1906" t="n"/>
      <c r="H26" s="2036" t="n"/>
      <c r="I26" s="1401" t="inlineStr">
        <is>
          <t>HSO Fles / Can 1</t>
        </is>
      </c>
      <c r="J26" s="1983" t="inlineStr">
        <is>
          <t>[ppb]</t>
        </is>
      </c>
      <c r="K26" s="1131">
        <f>'Recept-voorblad'!$M$16</f>
        <v/>
      </c>
      <c r="L26" s="2033">
        <f>'Recept-voorblad'!$L$16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>Etiketten:</t>
        </is>
      </c>
      <c r="B27" s="2012" t="n"/>
      <c r="C27" s="1904" t="n"/>
      <c r="D27" s="2013" t="inlineStr">
        <is>
          <t>Codering doos:</t>
        </is>
      </c>
      <c r="E27" s="1904" t="n"/>
      <c r="F27" s="1904" t="n"/>
      <c r="G27" s="1904" t="n"/>
      <c r="H27" s="2036" t="n"/>
      <c r="I27" s="1401" t="inlineStr">
        <is>
          <t>DO Fles / Can 1</t>
        </is>
      </c>
      <c r="J27" s="1983" t="inlineStr">
        <is>
          <t>[ppb]</t>
        </is>
      </c>
      <c r="K27" s="1131">
        <f>'Recept-voorblad'!$M$17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>Codering fles:</t>
        </is>
      </c>
      <c r="B28" s="2012" t="n"/>
      <c r="C28" s="1904" t="n"/>
      <c r="D28" s="2013" t="inlineStr">
        <is>
          <t>Ean code doos: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>Kroonkurk:</t>
        </is>
      </c>
      <c r="B29" s="2015" t="n"/>
      <c r="C29" s="1904" t="n"/>
      <c r="D29" s="2016" t="inlineStr">
        <is>
          <t>Logo doos:</t>
        </is>
      </c>
      <c r="E29" s="2017" t="n"/>
      <c r="F29" s="2017" t="n"/>
      <c r="G29" s="2017" t="n"/>
      <c r="H29" s="2039" t="n"/>
      <c r="I29" s="2040" t="inlineStr">
        <is>
          <t>Druk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>Blik Afvul 1,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>Temp(00C)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>bliksoort:</t>
        </is>
      </c>
      <c r="B31" s="2012" t="n"/>
      <c r="C31" s="1904" t="n"/>
      <c r="D31" s="2013" t="inlineStr">
        <is>
          <t>Doossoort:</t>
        </is>
      </c>
      <c r="E31" s="2018" t="n"/>
      <c r="F31" s="2019" t="n"/>
      <c r="G31" s="1906" t="n"/>
      <c r="H31" s="2039" t="n"/>
      <c r="I31" s="1401" t="inlineStr">
        <is>
          <t>CO2 Fles / Can 1 (200C)</t>
        </is>
      </c>
      <c r="J31" s="1983" t="inlineStr">
        <is>
          <t>[g/l]</t>
        </is>
      </c>
      <c r="K31" s="1127">
        <f>'Recept-voorblad'!$M$13</f>
        <v/>
      </c>
      <c r="L31" s="2033">
        <f>'Recept-voorblad'!$L$13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>Etiketten:</t>
        </is>
      </c>
      <c r="B32" s="2012" t="n"/>
      <c r="C32" s="1904" t="n"/>
      <c r="D32" s="2013" t="inlineStr">
        <is>
          <t>Codering doos:</t>
        </is>
      </c>
      <c r="E32" s="1904" t="n"/>
      <c r="F32" s="1904" t="n"/>
      <c r="G32" s="1904" t="n"/>
      <c r="H32" s="2041" t="n"/>
      <c r="I32" s="2042" t="inlineStr">
        <is>
          <t>CO2 Fust 1</t>
        </is>
      </c>
      <c r="J32" s="2043" t="inlineStr">
        <is>
          <t>[g/l]</t>
        </is>
      </c>
      <c r="K32" s="1127">
        <f>'Recept-voorblad'!$M$15</f>
        <v/>
      </c>
      <c r="L32" s="2033">
        <f>'Recept-voorblad'!$L$15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>Codering blik:</t>
        </is>
      </c>
      <c r="B33" s="2012" t="n"/>
      <c r="C33" s="1904" t="n"/>
      <c r="D33" s="2013" t="inlineStr">
        <is>
          <t>Ean code doos:</t>
        </is>
      </c>
      <c r="E33" s="1904" t="n"/>
      <c r="F33" s="1904" t="n"/>
      <c r="G33" s="1904" t="n"/>
      <c r="H33" s="2045" t="n"/>
      <c r="I33" s="2046" t="inlineStr">
        <is>
          <t>Zuurstof Fust 1</t>
        </is>
      </c>
      <c r="J33" s="2047" t="inlineStr">
        <is>
          <t>[ppb]</t>
        </is>
      </c>
      <c r="K33" s="2048">
        <f>'Recept-voorblad'!$M$17</f>
        <v/>
      </c>
      <c r="L33" s="2049">
        <f>'Recept-voorblad'!$L$17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>deksel:</t>
        </is>
      </c>
      <c r="B34" s="2015" t="n"/>
      <c r="C34" s="1904" t="n"/>
      <c r="D34" s="2016" t="inlineStr">
        <is>
          <t>Logo doos:</t>
        </is>
      </c>
      <c r="E34" s="2017" t="n"/>
      <c r="F34" s="2017" t="n"/>
      <c r="G34" s="2017" t="n"/>
      <c r="H34" s="2051" t="n"/>
      <c r="I34" s="1383" t="inlineStr">
        <is>
          <t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>Blik Afvul 2,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>TPO Fles / Can 2</t>
        </is>
      </c>
      <c r="J35" s="1983" t="inlineStr">
        <is>
          <t>[ppb]</t>
        </is>
      </c>
      <c r="K35" s="1131">
        <f>'Recept-voorblad'!$M$16+'Recept-voorblad'!$M$17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>bliksoort:</t>
        </is>
      </c>
      <c r="B36" s="2012" t="n"/>
      <c r="C36" s="1904" t="n"/>
      <c r="D36" s="2013" t="inlineStr">
        <is>
          <t>Doossoort:</t>
        </is>
      </c>
      <c r="E36" s="2018" t="n"/>
      <c r="F36" s="2019" t="n"/>
      <c r="G36" s="1906" t="n"/>
      <c r="H36" s="2052" t="n"/>
      <c r="I36" s="1401" t="inlineStr">
        <is>
          <t>HSO Fles / Can 2</t>
        </is>
      </c>
      <c r="J36" s="1983" t="inlineStr">
        <is>
          <t>[ppb]</t>
        </is>
      </c>
      <c r="K36" s="1131">
        <f>'Recept-voorblad'!$M$16</f>
        <v/>
      </c>
      <c r="L36" s="2033">
        <f>'Recept-voorblad'!$L$16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>Etiketten:</t>
        </is>
      </c>
      <c r="B37" s="2012" t="n"/>
      <c r="C37" s="1904" t="n"/>
      <c r="D37" s="2013" t="inlineStr">
        <is>
          <t>Codering doos:</t>
        </is>
      </c>
      <c r="E37" s="1904" t="n"/>
      <c r="F37" s="1904" t="n"/>
      <c r="G37" s="1904" t="n"/>
      <c r="H37" s="2052" t="n"/>
      <c r="I37" s="1401" t="inlineStr">
        <is>
          <t>DO Fles / Can 2</t>
        </is>
      </c>
      <c r="J37" s="1983" t="inlineStr">
        <is>
          <t>[ppb]</t>
        </is>
      </c>
      <c r="K37" s="1131">
        <f>'Recept-voorblad'!$M$17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>Codering blik:</t>
        </is>
      </c>
      <c r="B38" s="2012" t="n"/>
      <c r="C38" s="1904" t="n"/>
      <c r="D38" s="2013" t="inlineStr">
        <is>
          <t>Ean code doos: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>deksel:</t>
        </is>
      </c>
      <c r="B39" s="2015" t="n"/>
      <c r="C39" s="1904" t="n"/>
      <c r="D39" s="2016" t="inlineStr">
        <is>
          <t>Logo doos:</t>
        </is>
      </c>
      <c r="E39" s="2017" t="n"/>
      <c r="F39" s="2017" t="n"/>
      <c r="G39" s="2017" t="n"/>
      <c r="I39" s="2040" t="inlineStr">
        <is>
          <t>Druk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>Fust Afvul 1,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>Temp(00C)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>Fustmaat: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>CO2 Fles / Can 2 (200C)</t>
        </is>
      </c>
      <c r="J41" s="1983" t="inlineStr">
        <is>
          <t>[g/l]</t>
        </is>
      </c>
      <c r="K41" s="1127">
        <f>'Recept-voorblad'!$M$13</f>
        <v/>
      </c>
      <c r="L41" s="2033">
        <f>'Recept-voorblad'!$L$13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>Ean code: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>CO2 Fust 2</t>
        </is>
      </c>
      <c r="J42" s="2043" t="inlineStr">
        <is>
          <t>[g/l]</t>
        </is>
      </c>
      <c r="K42" s="1127">
        <f>'Recept-voorblad'!$M$15</f>
        <v/>
      </c>
      <c r="L42" s="2033">
        <f>'Recept-voorblad'!$L$15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>Fust Afvul 2,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>Zuurstof Fust 2</t>
        </is>
      </c>
      <c r="J43" s="2047" t="inlineStr">
        <is>
          <t>[ppb]</t>
        </is>
      </c>
      <c r="K43" s="2048">
        <f>'Recept-voorblad'!$M$17</f>
        <v/>
      </c>
      <c r="L43" s="2049">
        <f>'Recept-voorblad'!$L$17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>Fustmaat: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>Ean code: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>TPO Fles / Can 3</t>
        </is>
      </c>
      <c r="J45" s="1983" t="inlineStr">
        <is>
          <t>[ppb]</t>
        </is>
      </c>
      <c r="K45" s="1131">
        <f>'Recept-voorblad'!$M$16+'Recept-voorblad'!$M$17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>HSO Fles / Can 3</t>
        </is>
      </c>
      <c r="J46" s="1983" t="inlineStr">
        <is>
          <t>[ppb]</t>
        </is>
      </c>
      <c r="K46" s="1131">
        <f>'Recept-voorblad'!$M$16</f>
        <v/>
      </c>
      <c r="L46" s="2033">
        <f>'Recept-voorblad'!$L$16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>Opmerkingen productie opdracht: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>DO Fles / Can 3</t>
        </is>
      </c>
      <c r="J47" s="1983" t="inlineStr">
        <is>
          <t>[ppb]</t>
        </is>
      </c>
      <c r="K47" s="1131">
        <f>'Recept-voorblad'!$M$17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IF(Verwerking!N7=5.6," ","LET OP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>Druk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>Temp(00C)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>CO2 Fles / Can 3 (200C)</t>
        </is>
      </c>
      <c r="J51" s="1983" t="inlineStr">
        <is>
          <t>[g/l]</t>
        </is>
      </c>
      <c r="K51" s="1127">
        <f>'Recept-voorblad'!$M$13</f>
        <v/>
      </c>
      <c r="L51" s="2033">
        <f>'Recept-voorblad'!$L$13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>beschibaarheid</t>
        </is>
      </c>
      <c r="D52" s="2066" t="inlineStr">
        <is>
          <t>prestatie</t>
        </is>
      </c>
      <c r="E52" s="2066" t="inlineStr">
        <is>
          <t>kwaliteit</t>
        </is>
      </c>
      <c r="F52" s="2066" t="inlineStr">
        <is>
          <t>OEE</t>
        </is>
      </c>
      <c r="I52" s="2042" t="inlineStr">
        <is>
          <t>CO2 Fust 3</t>
        </is>
      </c>
      <c r="J52" s="2043" t="inlineStr">
        <is>
          <t>[g/l]</t>
        </is>
      </c>
      <c r="K52" s="1127">
        <f>'Recept-voorblad'!$M$15</f>
        <v/>
      </c>
      <c r="L52" s="2033">
        <f>'Recept-voorblad'!$L$15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>fles</t>
        </is>
      </c>
      <c r="B53" s="2067" t="n"/>
      <c r="C53" s="2068" t="n"/>
      <c r="D53" s="2068" t="n"/>
      <c r="E53" s="2068" t="n"/>
      <c r="F53" s="2068" t="n"/>
      <c r="I53" s="2046" t="inlineStr">
        <is>
          <t>Zuurstof Fust 3</t>
        </is>
      </c>
      <c r="J53" s="2047" t="inlineStr">
        <is>
          <t>[ppb]</t>
        </is>
      </c>
      <c r="K53" s="2048">
        <f>'Recept-voorblad'!$M$17</f>
        <v/>
      </c>
      <c r="L53" s="2049">
        <f>'Recept-voorblad'!$L$17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>vat</t>
        </is>
      </c>
      <c r="B55" s="2069" t="n"/>
      <c r="C55" s="2070" t="n"/>
      <c r="D55" s="2070" t="n"/>
      <c r="E55" s="2070" t="n"/>
      <c r="F55" s="2070" t="n"/>
      <c r="I55" s="1401" t="inlineStr">
        <is>
          <t>TPO Fles / Can 4</t>
        </is>
      </c>
      <c r="J55" s="1983" t="inlineStr">
        <is>
          <t>[ppb]</t>
        </is>
      </c>
      <c r="K55" s="1131">
        <f>'Recept-voorblad'!$M$16+'Recept-voorblad'!$M$17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>HSO Fles / Can 4</t>
        </is>
      </c>
      <c r="J56" s="1983" t="inlineStr">
        <is>
          <t>[ppb]</t>
        </is>
      </c>
      <c r="K56" s="1131">
        <f>'Recept-voorblad'!$M$16</f>
        <v/>
      </c>
      <c r="L56" s="2033">
        <f>'Recept-voorblad'!$L$16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>DO Fles / Can 4</t>
        </is>
      </c>
      <c r="J57" s="1983" t="inlineStr">
        <is>
          <t>[ppb]</t>
        </is>
      </c>
      <c r="K57" s="1131">
        <f>'Recept-voorblad'!$M$17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>Verbruiken</t>
        </is>
      </c>
      <c r="B58" s="2065" t="n"/>
      <c r="C58" s="2066" t="inlineStr">
        <is>
          <t>leeg goed</t>
        </is>
      </c>
      <c r="D58" s="2066" t="inlineStr">
        <is>
          <t>underfills</t>
        </is>
      </c>
      <c r="E58" s="2066" t="inlineStr">
        <is>
          <t>ongelabelled</t>
        </is>
      </c>
      <c r="F58" s="2066" t="inlineStr">
        <is>
          <t>verlies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>fles</t>
        </is>
      </c>
      <c r="B59" s="2067" t="n"/>
      <c r="C59" s="2074">
        <f>Afvulverslag!M49</f>
        <v/>
      </c>
      <c r="D59" s="2068" t="n"/>
      <c r="E59" s="2068" t="n"/>
      <c r="F59" s="2075">
        <f>Afvulverslag!R9</f>
        <v/>
      </c>
      <c r="I59" s="2040" t="inlineStr">
        <is>
          <t>Druk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Afvulverslag!M77</f>
        <v/>
      </c>
      <c r="D60" s="2070" t="n"/>
      <c r="E60" s="2077">
        <f>IFERROR(Afvulverslag!M82/Afvulverslag!K82,"")</f>
        <v/>
      </c>
      <c r="F60" s="2070" t="n"/>
      <c r="I60" s="2040" t="inlineStr">
        <is>
          <t>Temp(00C)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>vat</t>
        </is>
      </c>
      <c r="B61" s="2069" t="n"/>
      <c r="C61" s="2078">
        <f>SUM(Afvulverslag!M86:M88)</f>
        <v/>
      </c>
      <c r="D61" s="2070" t="n"/>
      <c r="E61" s="2070" t="n"/>
      <c r="F61" s="2070" t="n"/>
      <c r="I61" s="1401" t="inlineStr">
        <is>
          <t>CO2 Fles / Can 4 (200C)</t>
        </is>
      </c>
      <c r="J61" s="1983" t="inlineStr">
        <is>
          <t>[g/l]</t>
        </is>
      </c>
      <c r="K61" s="1127">
        <f>'Recept-voorblad'!$M$13</f>
        <v/>
      </c>
      <c r="L61" s="2033">
        <f>'Recept-voorblad'!$L$13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>CO2 Fust 4</t>
        </is>
      </c>
      <c r="J62" s="2043" t="inlineStr">
        <is>
          <t>[g/l]</t>
        </is>
      </c>
      <c r="K62" s="1127">
        <f>'Recept-voorblad'!$M$15</f>
        <v/>
      </c>
      <c r="L62" s="2033">
        <f>'Recept-voorblad'!$L$15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>Zuurstof Fust 4</t>
        </is>
      </c>
      <c r="J63" s="2047" t="inlineStr">
        <is>
          <t>[ppb]</t>
        </is>
      </c>
      <c r="K63" s="2048">
        <f>'Recept-voorblad'!$M$17</f>
        <v/>
      </c>
      <c r="L63" s="2049">
        <f>'Recept-voorblad'!$L$17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>CO2 fles/can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>TPO Fles / Can 5</t>
        </is>
      </c>
      <c r="J65" s="1983" t="inlineStr">
        <is>
          <t>[ppb]</t>
        </is>
      </c>
      <c r="K65" s="1131">
        <f>'Recept-voorblad'!$M$16+'Recept-voorblad'!$M$17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>HSO fles/can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>HSO Fles / Can 5</t>
        </is>
      </c>
      <c r="J66" s="1983" t="inlineStr">
        <is>
          <t>[ppb]</t>
        </is>
      </c>
      <c r="K66" s="1131">
        <f>'Recept-voorblad'!$M$16</f>
        <v/>
      </c>
      <c r="L66" s="2033">
        <f>'Recept-voorblad'!$L$16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>DO fles/can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>DO Fles / Can 5</t>
        </is>
      </c>
      <c r="J67" s="1983" t="inlineStr">
        <is>
          <t>[ppb]</t>
        </is>
      </c>
      <c r="K67" s="1131">
        <f>'Recept-voorblad'!$M$17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>TPO fles/can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>CO2 fust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>Druk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>DO fust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>Temp(00C)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>CO2 Fles / Can 5 (200C)</t>
        </is>
      </c>
      <c r="J71" s="1983" t="inlineStr">
        <is>
          <t>[g/l]</t>
        </is>
      </c>
      <c r="K71" s="1127">
        <f>'Recept-voorblad'!$M$13</f>
        <v/>
      </c>
      <c r="L71" s="2033">
        <f>'Recept-voorblad'!$L$13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>CO2 Fust 5</t>
        </is>
      </c>
      <c r="J72" s="2043" t="inlineStr">
        <is>
          <t>[g/l]</t>
        </is>
      </c>
      <c r="K72" s="1127">
        <f>'Recept-voorblad'!$M$15</f>
        <v/>
      </c>
      <c r="L72" s="2033">
        <f>'Recept-voorblad'!$L$15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>Zuurstof Fust 5</t>
        </is>
      </c>
      <c r="J73" s="2047" t="inlineStr">
        <is>
          <t>[ppb]</t>
        </is>
      </c>
      <c r="K73" s="2048">
        <f>'Recept-voorblad'!$M$17</f>
        <v/>
      </c>
      <c r="L73" s="2049">
        <f>'Recept-voorblad'!$L$17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>TPO Fles / Can 6</t>
        </is>
      </c>
      <c r="J75" s="1983" t="inlineStr">
        <is>
          <t>[ppb]</t>
        </is>
      </c>
      <c r="K75" s="1131">
        <f>'Recept-voorblad'!$M$16+'Recept-voorblad'!$M$17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>HSO Fles / Can 6</t>
        </is>
      </c>
      <c r="J76" s="1983" t="inlineStr">
        <is>
          <t>[ppb]</t>
        </is>
      </c>
      <c r="K76" s="1131">
        <f>'Recept-voorblad'!$M$16</f>
        <v/>
      </c>
      <c r="L76" s="2033">
        <f>'Recept-voorblad'!$L$16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>DO Fles / Can 6</t>
        </is>
      </c>
      <c r="J77" s="1983" t="inlineStr">
        <is>
          <t>[ppb]</t>
        </is>
      </c>
      <c r="K77" s="1131">
        <f>'Recept-voorblad'!$M$17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>Druk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>Temp(00C)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>CO2 Fles / Can 6 (200C)</t>
        </is>
      </c>
      <c r="J81" s="1983" t="inlineStr">
        <is>
          <t>[g/l]</t>
        </is>
      </c>
      <c r="K81" s="1127">
        <f>'Recept-voorblad'!$M$13</f>
        <v/>
      </c>
      <c r="L81" s="2033">
        <f>'Recept-voorblad'!$L$13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>CO2 Fust 6</t>
        </is>
      </c>
      <c r="J82" s="2043" t="inlineStr">
        <is>
          <t>[g/l]</t>
        </is>
      </c>
      <c r="K82" s="1127">
        <f>'Recept-voorblad'!$M$15</f>
        <v/>
      </c>
      <c r="L82" s="2033">
        <f>'Recept-voorblad'!$L$15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>Zuurstof Fust 6</t>
        </is>
      </c>
      <c r="J83" s="2047" t="inlineStr">
        <is>
          <t>[ppb]</t>
        </is>
      </c>
      <c r="K83" s="2048">
        <f>'Recept-voorblad'!$M$17</f>
        <v/>
      </c>
      <c r="L83" s="2049">
        <f>'Recept-voorblad'!$L$17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>TPO Fles / Can 7</t>
        </is>
      </c>
      <c r="J85" s="1983" t="inlineStr">
        <is>
          <t>[ppb]</t>
        </is>
      </c>
      <c r="K85" s="1131">
        <f>'Recept-voorblad'!$M$16+'Recept-voorblad'!$M$17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>HSO Fles / Can 7</t>
        </is>
      </c>
      <c r="J86" s="1983" t="inlineStr">
        <is>
          <t>[ppb]</t>
        </is>
      </c>
      <c r="K86" s="1131">
        <f>'Recept-voorblad'!$M$16</f>
        <v/>
      </c>
      <c r="L86" s="2033">
        <f>'Recept-voorblad'!$L$16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>DO Fles / Can 7</t>
        </is>
      </c>
      <c r="J87" s="1983" t="inlineStr">
        <is>
          <t>[ppb]</t>
        </is>
      </c>
      <c r="K87" s="1131">
        <f>'Recept-voorblad'!$M$17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>Druk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>Temp(00C)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>CO2 Fles / Can 7 (200C)</t>
        </is>
      </c>
      <c r="J91" s="1983" t="inlineStr">
        <is>
          <t>[g/l]</t>
        </is>
      </c>
      <c r="K91" s="1127">
        <f>'Recept-voorblad'!$M$13</f>
        <v/>
      </c>
      <c r="L91" s="2033">
        <f>'Recept-voorblad'!$L$13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>CO2 Fust 7</t>
        </is>
      </c>
      <c r="J92" s="2043" t="inlineStr">
        <is>
          <t>[g/l]</t>
        </is>
      </c>
      <c r="K92" s="1127">
        <f>'Recept-voorblad'!$M$15</f>
        <v/>
      </c>
      <c r="L92" s="2033">
        <f>'Recept-voorblad'!$L$15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>Zuurstof Fust 7</t>
        </is>
      </c>
      <c r="J93" s="2047" t="inlineStr">
        <is>
          <t>[ppb]</t>
        </is>
      </c>
      <c r="K93" s="2048">
        <f>'Recept-voorblad'!$M$17</f>
        <v/>
      </c>
      <c r="L93" s="2049">
        <f>'Recept-voorblad'!$L$17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>DO Fles / Can 1</t>
        </is>
      </c>
      <c r="J98" s="1521" t="inlineStr">
        <is>
          <t>[ppb]</t>
        </is>
      </c>
      <c r="K98" s="2092">
        <f>'Recept-voorblad'!$M$17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>Druk</t>
        </is>
      </c>
      <c r="J100" s="1521" t="n"/>
      <c r="K100" s="2092" t="n"/>
    </row>
    <row r="101" hidden="1" ht="13.5" customHeight="1" s="1339">
      <c r="I101" s="1099" t="inlineStr">
        <is>
          <t>Temp(00C)</t>
        </is>
      </c>
      <c r="J101" s="1521" t="n"/>
      <c r="K101" s="2092" t="n"/>
    </row>
    <row r="102" hidden="1" ht="13.5" customHeight="1" s="1339">
      <c r="I102" s="1425" t="inlineStr">
        <is>
          <t>CO2 Fles / Can 1 (200C)</t>
        </is>
      </c>
      <c r="J102" s="1521" t="inlineStr">
        <is>
          <t>[g/l]</t>
        </is>
      </c>
      <c r="K102" s="2093">
        <f>'Recept-voorblad'!$M$13</f>
        <v/>
      </c>
    </row>
    <row r="103" hidden="1" ht="13.5" customHeight="1" s="1339">
      <c r="I103" s="1425" t="inlineStr">
        <is>
          <t>CO2 Fust 1</t>
        </is>
      </c>
      <c r="J103" s="1521" t="inlineStr">
        <is>
          <t>[g/l]</t>
        </is>
      </c>
      <c r="K103" s="2093">
        <f>'Recept-voorblad'!$M$15</f>
        <v/>
      </c>
    </row>
    <row r="104" hidden="1" ht="13.5" customHeight="1" s="1339">
      <c r="I104" s="1425" t="inlineStr">
        <is>
          <t>Zuurstof Fust 1</t>
        </is>
      </c>
      <c r="J104" s="1521" t="inlineStr">
        <is>
          <t>[ppb]</t>
        </is>
      </c>
      <c r="K104" s="2093">
        <f>'Recept-voorblad'!$M$17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"Geen logo,Logo (zie voorblad)"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"Standaard,Afwijkend (zie opmerkingen)"</formula1>
      <formula2>0</formula2>
    </dataValidation>
    <dataValidation sqref="C42 C45 E18 E23 E28 E33 E38 H15 H20" showDropDown="0" showInputMessage="1" showErrorMessage="1" allowBlank="1" type="list" errorStyle="stop" operator="between">
      <formula1>"Geen EAN Code,EAN code toevoegen (zie specificaties)"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BNR,75cl,Anders (zie opmerkingen)"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3,Blanco,Anders (zie opmerkingen)"</formula1>
      <formula2>0</formula2>
    </dataValidation>
    <dataValidation sqref="C19 C24 C29" showDropDown="0" showInputMessage="1" showErrorMessage="1" allowBlank="1" type="list" errorStyle="stop" operator="between">
      <formula1>"Jopen KK,Blauw KK,Zilver KK,Zwart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6x75cl,Anders (zie opmerkingen)"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24x33cl,Anders (zie opmerkingen)"</formula1>
      <formula2>0</formula2>
    </dataValidation>
    <dataValidation sqref="C41 C44" showDropDown="0" showInputMessage="1" showErrorMessage="1" allowBlank="1" type="list" errorStyle="stop" operator="between">
      <formula1>"Fust 20 liter,Fust 30 liter,Fust 50 liter,Keykeg 20 liter,Keykeg 30 liter,Polykeg 20L A,Polykeg 20L S,Anders (zie opmerkingen)"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"Zilver,Zwart"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>Afvulverslag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>TOTALEN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Naam Bier </t>
        </is>
      </c>
      <c r="C3" s="2105">
        <f>Afvullen!C3</f>
        <v/>
      </c>
      <c r="D3" s="1075" t="n"/>
      <c r="E3" s="1076" t="n"/>
      <c r="F3" s="2026" t="inlineStr">
        <is>
          <t xml:space="preserve">Batch </t>
        </is>
      </c>
      <c r="G3" s="1076" t="n"/>
      <c r="H3" s="2105">
        <f>'Recept-voorblad'!K3</f>
        <v/>
      </c>
      <c r="I3" s="1076" t="n"/>
      <c r="M3" s="2106" t="inlineStr">
        <is>
          <t>Totaal HL's van Verwer- king (Liters)</t>
        </is>
      </c>
      <c r="O3" s="2010" t="inlineStr">
        <is>
          <t>Totaal Afgevuld</t>
        </is>
      </c>
      <c r="Q3" s="2107" t="inlineStr">
        <is>
          <t>Nog te doen / restant / verlies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>Opmerkingen bij afvullen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>(liters)</t>
        </is>
      </c>
      <c r="Q5" s="2116" t="inlineStr">
        <is>
          <t>(liters)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>Datum</t>
        </is>
      </c>
      <c r="E6" s="2023" t="inlineStr">
        <is>
          <t>Datum</t>
        </is>
      </c>
      <c r="F6" s="2023" t="inlineStr">
        <is>
          <t>Datum</t>
        </is>
      </c>
      <c r="G6" s="2023" t="inlineStr">
        <is>
          <t>Datum</t>
        </is>
      </c>
      <c r="H6" s="2023" t="inlineStr">
        <is>
          <t>Datum</t>
        </is>
      </c>
      <c r="I6" s="2023" t="inlineStr">
        <is>
          <t>Datum</t>
        </is>
      </c>
      <c r="J6" s="1521" t="n"/>
      <c r="K6" s="1521" t="n"/>
      <c r="L6" s="1521" t="n"/>
      <c r="M6" s="2119">
        <f>Verwerking!D63*100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>HBT nr</t>
        </is>
      </c>
      <c r="E8" s="2128" t="inlineStr">
        <is>
          <t>HBT nr</t>
        </is>
      </c>
      <c r="F8" s="2128" t="inlineStr">
        <is>
          <t>HBT nr</t>
        </is>
      </c>
      <c r="G8" s="2128" t="inlineStr">
        <is>
          <t>HBT nr</t>
        </is>
      </c>
      <c r="H8" s="2128" t="inlineStr">
        <is>
          <t>HBT nr</t>
        </is>
      </c>
      <c r="I8" s="2128" t="inlineStr">
        <is>
          <t>HBT nr</t>
        </is>
      </c>
      <c r="J8" s="1521" t="n"/>
      <c r="K8" s="1521" t="n"/>
      <c r="L8" s="1521" t="n"/>
      <c r="M8" s="2129" t="inlineStr">
        <is>
          <t>Totaal Liters Fles</t>
        </is>
      </c>
      <c r="N8" s="1114" t="n"/>
      <c r="O8" s="1115" t="n"/>
      <c r="P8" s="1521" t="n"/>
      <c r="Q8" s="2130" t="inlineStr">
        <is>
          <t>Totaal Liters Blik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>Volume (HL)</t>
        </is>
      </c>
      <c r="E10" s="2134" t="inlineStr">
        <is>
          <t>Volume (HL)</t>
        </is>
      </c>
      <c r="F10" s="2134" t="inlineStr">
        <is>
          <t>Volume (HL)</t>
        </is>
      </c>
      <c r="G10" s="2134" t="inlineStr">
        <is>
          <t>Volume (HL)</t>
        </is>
      </c>
      <c r="H10" s="2134" t="inlineStr">
        <is>
          <t>Volume (HL)</t>
        </is>
      </c>
      <c r="I10" s="2134" t="inlineStr">
        <is>
          <t>Volume (HL)</t>
        </is>
      </c>
      <c r="J10" s="1521" t="n"/>
      <c r="K10" s="1521" t="n"/>
      <c r="L10" s="1521" t="n"/>
      <c r="M10" s="2129" t="inlineStr">
        <is>
          <t>Totaal Liters Fust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SUM(M34:M42)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>Totaal samengevoegd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>Ingevuld door</t>
        </is>
      </c>
      <c r="C13" s="2026" t="inlineStr">
        <is>
          <t>Naam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SUM(K45:K47)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>OPBOEKEN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>AFVUL FLESSEN</t>
        </is>
      </c>
      <c r="C16" s="2147" t="inlineStr">
        <is>
          <t>EAN</t>
        </is>
      </c>
      <c r="D16" s="2010" t="inlineStr">
        <is>
          <t>Aantallen</t>
        </is>
      </c>
      <c r="E16" s="2010" t="inlineStr">
        <is>
          <t>Aantallen</t>
        </is>
      </c>
      <c r="F16" s="2010" t="inlineStr">
        <is>
          <t>Aantallen</t>
        </is>
      </c>
      <c r="G16" s="2010" t="inlineStr">
        <is>
          <t>Aantallen</t>
        </is>
      </c>
      <c r="H16" s="2010" t="inlineStr">
        <is>
          <t>Aantallen</t>
        </is>
      </c>
      <c r="I16" s="2010" t="inlineStr">
        <is>
          <t>Aantallen</t>
        </is>
      </c>
      <c r="J16" s="2112" t="n"/>
      <c r="K16" s="2148" t="inlineStr">
        <is>
          <t>TOTALEN</t>
        </is>
      </c>
      <c r="L16" s="1521" t="n"/>
      <c r="M16" s="2148" t="inlineStr">
        <is>
          <t>LITERS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>Doos 24x33cl</t>
        </is>
      </c>
      <c r="C17" s="2149">
        <f>Afvullen!C6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>Doos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>Doos 12x33cl</t>
        </is>
      </c>
      <c r="C20" s="2149">
        <f>Afvullen!C7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>Doos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>Doos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>Doos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>Krat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'Recept-voorblad'!$M$13</f>
        <v/>
      </c>
      <c r="L26" s="2112" t="n"/>
      <c r="M26" s="2112" t="n"/>
    </row>
    <row r="27" outlineLevel="1" ht="15" customFormat="1" customHeight="1" s="1425">
      <c r="B27" s="2146" t="inlineStr">
        <is>
          <t>AFVUL BLIKKEN</t>
        </is>
      </c>
      <c r="C27" s="2147" t="inlineStr">
        <is>
          <t>Opmerkingen</t>
        </is>
      </c>
      <c r="D27" s="2010" t="inlineStr">
        <is>
          <t>Aantallen</t>
        </is>
      </c>
      <c r="E27" s="2010" t="inlineStr">
        <is>
          <t>Aantallen</t>
        </is>
      </c>
      <c r="F27" s="2010" t="inlineStr">
        <is>
          <t>Aantallen</t>
        </is>
      </c>
      <c r="G27" s="2010" t="inlineStr">
        <is>
          <t>Aantallen</t>
        </is>
      </c>
      <c r="H27" s="2010" t="inlineStr">
        <is>
          <t>Aantallen</t>
        </is>
      </c>
      <c r="I27" s="2010" t="inlineStr">
        <is>
          <t>Aantallen</t>
        </is>
      </c>
      <c r="J27" s="1521" t="n"/>
      <c r="K27" s="2010" t="inlineStr">
        <is>
          <t>TOTALEN</t>
        </is>
      </c>
      <c r="L27" s="1521" t="n"/>
      <c r="M27" s="2010" t="inlineStr">
        <is>
          <t>LITERS</t>
        </is>
      </c>
    </row>
    <row r="28" outlineLevel="1" ht="15" customFormat="1" customHeight="1" s="1425">
      <c r="B28" s="2159" t="inlineStr">
        <is>
          <t>Doos 12x33cl Blik</t>
        </is>
      </c>
      <c r="C28" s="2149">
        <f>Afvullen!C9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>Doos 24x33cl Blik</t>
        </is>
      </c>
      <c r="C29" s="2149">
        <f>Afvullen!C8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>Doos 12x44cl Blik</t>
        </is>
      </c>
      <c r="C30" s="2149">
        <f>Afvullen!C9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>Doos 24x44cl Blik</t>
        </is>
      </c>
      <c r="C31" s="2149">
        <f>Afvullen!C10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>AFVUL FUSTEN &amp; KEYKEGS</t>
        </is>
      </c>
      <c r="C33" s="2147" t="inlineStr">
        <is>
          <t>Opmerkingen</t>
        </is>
      </c>
      <c r="D33" s="2010" t="inlineStr">
        <is>
          <t>Aantallen</t>
        </is>
      </c>
      <c r="E33" s="2010" t="inlineStr">
        <is>
          <t>Aantallen</t>
        </is>
      </c>
      <c r="F33" s="2010" t="inlineStr">
        <is>
          <t>Aantallen</t>
        </is>
      </c>
      <c r="G33" s="2010" t="inlineStr">
        <is>
          <t>Aantallen</t>
        </is>
      </c>
      <c r="H33" s="2010" t="inlineStr">
        <is>
          <t>Aantallen</t>
        </is>
      </c>
      <c r="I33" s="2010" t="inlineStr">
        <is>
          <t>Aantallen</t>
        </is>
      </c>
      <c r="J33" s="1521" t="n"/>
      <c r="K33" s="2010" t="inlineStr">
        <is>
          <t>TOTALEN</t>
        </is>
      </c>
      <c r="L33" s="1521" t="n"/>
      <c r="M33" s="2010" t="inlineStr">
        <is>
          <t>LITERS</t>
        </is>
      </c>
    </row>
    <row r="34" outlineLevel="1" ht="15" customFormat="1" customHeight="1" s="1425">
      <c r="B34" s="2013" t="inlineStr">
        <is>
          <t>20L KeyKeg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>20L Jopen/KU Fust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K35*20</f>
        <v/>
      </c>
    </row>
    <row r="36" outlineLevel="1" ht="15" customFormat="1" customHeight="1" s="1425">
      <c r="B36" s="2013" t="inlineStr">
        <is>
          <t>30L Jopen Fust</t>
        </is>
      </c>
      <c r="C36" s="2158" t="n"/>
      <c r="D36" s="2150" t="n"/>
      <c r="E36" s="2151" t="n"/>
      <c r="F36" s="2151" t="n"/>
      <c r="G36" s="2151" t="n"/>
      <c r="H36" s="2151" t="n"/>
      <c r="I36" s="2150" t="n"/>
      <c r="J36" s="1521" t="n"/>
      <c r="K36" s="2152">
        <f>SUM(D36:I36)</f>
        <v/>
      </c>
      <c r="L36" s="2112" t="n"/>
      <c r="M36" s="2154">
        <f>K36*30</f>
        <v/>
      </c>
    </row>
    <row r="37" outlineLevel="1" ht="15" customFormat="1" customHeight="1" s="1425">
      <c r="B37" s="2013" t="inlineStr">
        <is>
          <t>50L Jopen Fust</t>
        </is>
      </c>
      <c r="C37" s="2149" t="n"/>
      <c r="D37" s="2160" t="n"/>
      <c r="E37" s="2160" t="n"/>
      <c r="F37" s="2160" t="n"/>
      <c r="G37" s="2160" t="n"/>
      <c r="H37" s="2160" t="n"/>
      <c r="I37" s="2161" t="n"/>
      <c r="J37" s="1521" t="n"/>
      <c r="K37" s="2152">
        <f>SUM(D37:I37)</f>
        <v/>
      </c>
      <c r="L37" s="2112" t="n"/>
      <c r="M37" s="2154">
        <f>K37*50</f>
        <v/>
      </c>
    </row>
    <row r="38" ht="15" customFormat="1" customHeight="1" s="1425">
      <c r="B38" s="2162" t="n"/>
      <c r="C38" s="1521" t="n"/>
      <c r="D38" s="2163" t="n"/>
      <c r="E38" s="2163" t="n"/>
      <c r="F38" s="2163" t="n"/>
      <c r="G38" s="2163" t="n"/>
      <c r="H38" s="2163" t="n"/>
      <c r="I38" s="2164" t="n"/>
      <c r="J38" s="1521" t="n"/>
      <c r="K38" s="2152" t="n"/>
      <c r="L38" s="2112" t="n"/>
      <c r="M38" s="2154" t="n"/>
    </row>
    <row r="39" outlineLevel="1" ht="15" customFormat="1" customHeight="1" s="1425">
      <c r="B39" s="2013" t="inlineStr">
        <is>
          <t>20L Gbr, Door Vrouwen fust</t>
        </is>
      </c>
      <c r="C39" s="1521" t="n"/>
      <c r="D39" s="2165" t="n"/>
      <c r="E39" s="2165" t="n"/>
      <c r="F39" s="2165" t="n"/>
      <c r="G39" s="2165" t="n"/>
      <c r="H39" s="2165" t="n"/>
      <c r="I39" s="2166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Global Keg (S)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outlineLevel="1" ht="15" customFormat="1" customHeight="1" s="1425">
      <c r="B41" s="2013" t="inlineStr">
        <is>
          <t>20L Global Keg</t>
        </is>
      </c>
      <c r="C41" s="1521" t="n"/>
      <c r="D41" s="2167" t="n"/>
      <c r="E41" s="2151" t="n"/>
      <c r="F41" s="2151" t="n"/>
      <c r="G41" s="2151" t="n"/>
      <c r="H41" s="2151" t="n"/>
      <c r="I41" s="2150" t="n"/>
      <c r="J41" s="1521" t="n"/>
      <c r="K41" s="2152">
        <f>SUM(D41:I41)</f>
        <v/>
      </c>
      <c r="L41" s="2112" t="n"/>
      <c r="M41" s="2154">
        <f>K41*20</f>
        <v/>
      </c>
    </row>
    <row r="42" ht="15" customFormat="1" customHeight="1" s="1425">
      <c r="B42" s="2013" t="inlineStr">
        <is>
          <t>30L KeyKeg</t>
        </is>
      </c>
      <c r="C42" s="1521" t="n"/>
      <c r="D42" s="2160" t="n"/>
      <c r="E42" s="2160" t="n"/>
      <c r="F42" s="2160" t="n"/>
      <c r="G42" s="2160" t="n"/>
      <c r="H42" s="2160" t="n"/>
      <c r="I42" s="2161" t="n"/>
      <c r="J42" s="1521" t="n"/>
      <c r="K42" s="2152">
        <f>SUM(D42:I42)</f>
        <v/>
      </c>
      <c r="L42" s="2112" t="n"/>
      <c r="M42" s="2154">
        <f>K42*30</f>
        <v/>
      </c>
    </row>
    <row r="43" ht="15" customFormat="1" customHeight="1" s="1425">
      <c r="B43" s="2168" t="n"/>
      <c r="C43" s="1512" t="n"/>
      <c r="D43" s="2169" t="n"/>
      <c r="E43" s="2169" t="n"/>
      <c r="F43" s="2169" t="n"/>
      <c r="G43" s="2169" t="n"/>
      <c r="H43" s="2169" t="n"/>
      <c r="I43" s="2169" t="n"/>
      <c r="J43" s="2170" t="n"/>
      <c r="K43" s="2171" t="n"/>
      <c r="L43" s="1521" t="n"/>
      <c r="M43" s="1521" t="n"/>
    </row>
    <row r="44" outlineLevel="1" ht="55.5" customFormat="1" customHeight="1" s="1425">
      <c r="B44" s="2172" t="inlineStr">
        <is>
          <t>GEBRUIKT TBV SAMENVOEGEN / BARREL AGING</t>
        </is>
      </c>
      <c r="C44" s="2147" t="inlineStr">
        <is>
          <t>Opmerkingen</t>
        </is>
      </c>
      <c r="D44" s="2010" t="inlineStr">
        <is>
          <t>Liters</t>
        </is>
      </c>
      <c r="E44" s="2010" t="inlineStr">
        <is>
          <t>Liters</t>
        </is>
      </c>
      <c r="F44" s="2010" t="inlineStr">
        <is>
          <t>Liters</t>
        </is>
      </c>
      <c r="G44" s="2010" t="inlineStr">
        <is>
          <t>Liters</t>
        </is>
      </c>
      <c r="H44" s="2010" t="inlineStr">
        <is>
          <t>Liters</t>
        </is>
      </c>
      <c r="I44" s="2010" t="inlineStr">
        <is>
          <t>Liters</t>
        </is>
      </c>
      <c r="J44" s="1521" t="n"/>
      <c r="K44" s="2010" t="inlineStr">
        <is>
          <t>TOTALEN Liters</t>
        </is>
      </c>
      <c r="L44" s="1114" t="n"/>
      <c r="M44" s="1115" t="n"/>
    </row>
    <row r="45" outlineLevel="1" ht="15" customFormat="1" customHeight="1" s="1425">
      <c r="B45" s="2013" t="inlineStr">
        <is>
          <t>TBV BATCH …,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inlineStr">
        <is>
          <t>TBV BARREL AGING BATCH…</t>
        </is>
      </c>
      <c r="C46" s="2150" t="n"/>
      <c r="D46" s="2150" t="n"/>
      <c r="E46" s="2150" t="n"/>
      <c r="F46" s="2150" t="n"/>
      <c r="G46" s="2150" t="n"/>
      <c r="H46" s="2150" t="n"/>
      <c r="I46" s="2150" t="n"/>
      <c r="J46" s="1521" t="n"/>
      <c r="K46" s="2152">
        <f>SUM(D46:I46)</f>
        <v/>
      </c>
      <c r="L46" s="2112" t="n"/>
      <c r="M46" s="2154">
        <f>K46</f>
        <v/>
      </c>
    </row>
    <row r="47" outlineLevel="1" ht="15" customFormat="1" customHeight="1" s="1425">
      <c r="B47" s="2013" t="n"/>
      <c r="C47" s="2160" t="n"/>
      <c r="D47" s="2160" t="n"/>
      <c r="E47" s="2161" t="n"/>
      <c r="F47" s="2161" t="n"/>
      <c r="G47" s="2161" t="n"/>
      <c r="H47" s="2161" t="n"/>
      <c r="I47" s="2161" t="n"/>
      <c r="J47" s="1521" t="n"/>
      <c r="K47" s="2152">
        <f>SUM(D47:I47)</f>
        <v/>
      </c>
      <c r="L47" s="2112" t="n"/>
      <c r="M47" s="2112" t="n"/>
    </row>
    <row r="48" ht="15" customHeight="1" s="1339"/>
    <row r="49" ht="23.25" customFormat="1" customHeight="1" s="1425">
      <c r="B49" s="2173" t="inlineStr">
        <is>
          <t>VERBRUIKEN :</t>
        </is>
      </c>
      <c r="C49" s="1114" t="n"/>
      <c r="D49" s="1114" t="n"/>
      <c r="E49" s="1114" t="n"/>
      <c r="F49" s="1114" t="n"/>
      <c r="G49" s="1114" t="n"/>
      <c r="H49" s="1114" t="n"/>
      <c r="I49" s="1115" t="n"/>
      <c r="J49" s="1521" t="n"/>
      <c r="K49" s="2145" t="inlineStr">
        <is>
          <t>UITSCHRIJVEN (-)</t>
        </is>
      </c>
      <c r="L49" s="1114" t="n"/>
      <c r="M49" s="1115" t="n"/>
      <c r="N49" s="1521" t="n"/>
      <c r="O49" s="1521" t="n"/>
      <c r="P49" s="1521" t="n"/>
      <c r="Q49" s="1521" t="n"/>
    </row>
    <row r="50" ht="15" customFormat="1" customHeight="1" s="1425">
      <c r="B50" s="2174" t="inlineStr">
        <is>
          <t>VERBRUIKEN FLES</t>
        </is>
      </c>
      <c r="C50" s="2147" t="inlineStr">
        <is>
          <t>Opmerkingen</t>
        </is>
      </c>
      <c r="D50" s="1137" t="inlineStr">
        <is>
          <t>Aantal</t>
        </is>
      </c>
      <c r="E50" s="1137" t="inlineStr">
        <is>
          <t>Aantal</t>
        </is>
      </c>
      <c r="F50" s="1137" t="inlineStr">
        <is>
          <t>Aantal</t>
        </is>
      </c>
      <c r="G50" s="1137" t="inlineStr">
        <is>
          <t>Aantal</t>
        </is>
      </c>
      <c r="H50" s="1137" t="inlineStr">
        <is>
          <t>Aantal</t>
        </is>
      </c>
      <c r="I50" s="1137" t="inlineStr">
        <is>
          <t>Aantal</t>
        </is>
      </c>
      <c r="J50" s="1521" t="n"/>
      <c r="K50" s="2175" t="inlineStr">
        <is>
          <t>TOTALEN</t>
        </is>
      </c>
      <c r="L50" s="2036" t="n"/>
      <c r="M50" s="2148" t="inlineStr">
        <is>
          <t>VERLIES</t>
        </is>
      </c>
      <c r="N50" s="1521" t="n"/>
      <c r="O50" s="1521" t="n"/>
      <c r="P50" s="1521" t="n"/>
      <c r="Q50" s="1521" t="n"/>
    </row>
    <row r="51" outlineLevel="1" ht="15" customFormat="1" customHeight="1" s="1425">
      <c r="B51" s="2016" t="inlineStr">
        <is>
          <t>Fles 33cl</t>
        </is>
      </c>
      <c r="C51" s="2176" t="n"/>
      <c r="D51" s="2165" t="n"/>
      <c r="E51" s="2166" t="n"/>
      <c r="F51" s="2166" t="n"/>
      <c r="G51" s="2166" t="n"/>
      <c r="H51" s="2166" t="n"/>
      <c r="I51" s="2166" t="n"/>
      <c r="J51" s="1521" t="n"/>
      <c r="K51" s="2152">
        <f>SUM(D51:I51)</f>
        <v/>
      </c>
      <c r="L51" s="2112" t="n"/>
      <c r="M51" s="2177">
        <f>K51-SUM(K17:K18)*24-SUM(K20:K21)*12</f>
        <v/>
      </c>
      <c r="N51" s="1521" t="n"/>
      <c r="O51" s="1521" t="n"/>
      <c r="P51" s="1521" t="n"/>
      <c r="Q51" s="1521" t="n"/>
    </row>
    <row r="52" ht="15" customFormat="1" customHeight="1" s="1425">
      <c r="B52" s="2178" t="n"/>
      <c r="C52" s="2163" t="n"/>
      <c r="D52" s="2163" t="n"/>
      <c r="E52" s="2163" t="n"/>
      <c r="F52" s="2163" t="n"/>
      <c r="G52" s="2163" t="n"/>
      <c r="H52" s="2163" t="n"/>
      <c r="I52" s="2163" t="n"/>
      <c r="J52" s="1521" t="n"/>
      <c r="K52" s="2152" t="n"/>
      <c r="L52" s="2112" t="n"/>
      <c r="M52" s="2177" t="n"/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>Stickerlabel 33cl - Main</t>
        </is>
      </c>
      <c r="C53" s="2179" t="n"/>
      <c r="D53" s="2165" t="n"/>
      <c r="E53" s="2166" t="n"/>
      <c r="F53" s="2166" t="n"/>
      <c r="G53" s="2166" t="n"/>
      <c r="H53" s="2166" t="n"/>
      <c r="I53" s="2166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outlineLevel="1" ht="15" customFormat="1" customHeight="1" s="1425">
      <c r="B54" s="2016" t="inlineStr">
        <is>
          <t>Stickerlabel 33cl - Neck</t>
        </is>
      </c>
      <c r="C54" s="2161" t="n"/>
      <c r="D54" s="2160" t="n"/>
      <c r="E54" s="2161" t="n"/>
      <c r="F54" s="2161" t="n"/>
      <c r="G54" s="2161" t="n"/>
      <c r="H54" s="2161" t="n"/>
      <c r="I54" s="2161" t="n"/>
      <c r="J54" s="1521" t="n"/>
      <c r="K54" s="2152">
        <f>SUM(D54:I54)</f>
        <v/>
      </c>
      <c r="L54" s="2112" t="n"/>
      <c r="M54" s="2177">
        <f>K54-$K$17*24-$K$20*12</f>
        <v/>
      </c>
      <c r="N54" s="1521" t="n"/>
      <c r="O54" s="1521" t="n"/>
      <c r="P54" s="1521" t="n"/>
      <c r="Q54" s="1521" t="n"/>
    </row>
    <row r="55" ht="15" customFormat="1" customHeight="1" s="1425">
      <c r="B55" s="1099" t="n"/>
      <c r="C55" s="2170" t="n"/>
      <c r="D55" s="1521" t="n"/>
      <c r="E55" s="1521" t="n"/>
      <c r="F55" s="1521" t="n"/>
      <c r="G55" s="1521" t="n"/>
      <c r="H55" s="1521" t="n"/>
      <c r="I55" s="1521" t="n"/>
      <c r="J55" s="1521" t="n"/>
      <c r="K55" s="2152" t="n"/>
      <c r="L55" s="2112" t="n"/>
      <c r="M55" s="2177" t="n"/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>Omdozen 24x33cl - Bedrukt:</t>
        </is>
      </c>
      <c r="C56" s="2179" t="n"/>
      <c r="D56" s="2165" t="n"/>
      <c r="E56" s="2166" t="n"/>
      <c r="F56" s="2166" t="n"/>
      <c r="G56" s="2166" t="n"/>
      <c r="H56" s="2166" t="n"/>
      <c r="I56" s="2166" t="n"/>
      <c r="J56" s="1521" t="n"/>
      <c r="K56" s="2152">
        <f>SUM(D56:I56)</f>
        <v/>
      </c>
      <c r="L56" s="2112" t="n"/>
      <c r="M56" s="2152">
        <f>K56-K17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2016" t="inlineStr">
        <is>
          <t>Omdozen 24x33cl - Blanco</t>
        </is>
      </c>
      <c r="C57" s="2180" t="n"/>
      <c r="D57" s="2160" t="n"/>
      <c r="E57" s="2161" t="n"/>
      <c r="F57" s="2161" t="n"/>
      <c r="G57" s="2161" t="n"/>
      <c r="H57" s="2161" t="n"/>
      <c r="I57" s="2161" t="n"/>
      <c r="J57" s="1521" t="n"/>
      <c r="K57" s="2152">
        <f>SUM(D57:I57)</f>
        <v/>
      </c>
      <c r="L57" s="2112" t="n"/>
      <c r="M57" s="2152">
        <f>K57-K18</f>
        <v/>
      </c>
      <c r="N57" s="1521" t="n"/>
      <c r="O57" s="1521" t="n"/>
      <c r="P57" s="1521" t="n"/>
      <c r="Q57" s="1521" t="n"/>
    </row>
    <row r="58" outlineLevel="1" ht="15" customFormat="1" customHeight="1" s="1425">
      <c r="B58" s="1099" t="n"/>
      <c r="C58" s="1521" t="n"/>
      <c r="D58" s="1521" t="n"/>
      <c r="E58" s="1521" t="n"/>
      <c r="F58" s="1521" t="n"/>
      <c r="G58" s="1521" t="n"/>
      <c r="H58" s="1521" t="n"/>
      <c r="I58" s="1521" t="n"/>
      <c r="J58" s="1521" t="n"/>
      <c r="K58" s="2152" t="n"/>
      <c r="L58" s="2112" t="n"/>
      <c r="M58" s="2177" t="n"/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>Omdozen 12x33cl - Bedrukt:</t>
        </is>
      </c>
      <c r="C59" s="2179" t="n"/>
      <c r="D59" s="2165" t="n"/>
      <c r="E59" s="2166" t="n"/>
      <c r="F59" s="2166" t="n"/>
      <c r="G59" s="2166" t="n"/>
      <c r="H59" s="2166" t="n"/>
      <c r="I59" s="2166" t="n"/>
      <c r="J59" s="1521" t="n"/>
      <c r="K59" s="2152">
        <f>SUM(D59:I59)</f>
        <v/>
      </c>
      <c r="L59" s="2112" t="n"/>
      <c r="M59" s="2152">
        <f>K59-K20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2016" t="inlineStr">
        <is>
          <t>Omdozen 12x33cl - Blanco</t>
        </is>
      </c>
      <c r="C60" s="2180" t="n"/>
      <c r="D60" s="2160" t="n"/>
      <c r="E60" s="2161" t="n"/>
      <c r="F60" s="2161" t="n"/>
      <c r="G60" s="2161" t="n"/>
      <c r="H60" s="2161" t="n"/>
      <c r="I60" s="2161" t="n"/>
      <c r="J60" s="1521" t="n"/>
      <c r="K60" s="2152">
        <f>SUM(D60:I60)</f>
        <v/>
      </c>
      <c r="L60" s="2112" t="n"/>
      <c r="M60" s="2152">
        <f>K60-K21</f>
        <v/>
      </c>
      <c r="N60" s="1521" t="n"/>
      <c r="O60" s="1521" t="n"/>
      <c r="P60" s="1521" t="n"/>
      <c r="Q60" s="1521" t="n"/>
    </row>
    <row r="61" outlineLevel="1" ht="15" customFormat="1" customHeight="1" s="1425">
      <c r="B61" s="1099" t="n"/>
      <c r="C61" s="2170" t="n"/>
      <c r="D61" s="1521" t="n"/>
      <c r="E61" s="1521" t="n"/>
      <c r="F61" s="1521" t="n"/>
      <c r="G61" s="1521" t="n"/>
      <c r="H61" s="1521" t="n"/>
      <c r="I61" s="1521" t="n"/>
      <c r="J61" s="1521" t="n"/>
      <c r="K61" s="2152" t="n"/>
      <c r="L61" s="2112" t="n"/>
      <c r="M61" s="2177" t="n"/>
      <c r="N61" s="1521" t="n"/>
      <c r="O61" s="1521" t="n"/>
      <c r="P61" s="1521" t="n"/>
      <c r="Q61" s="1521" t="n"/>
    </row>
    <row r="62" outlineLevel="1" ht="15" customFormat="1" customHeight="1" s="1425">
      <c r="B62" s="2016" t="inlineStr">
        <is>
          <t>Kroonkurk:</t>
        </is>
      </c>
      <c r="C62" s="2181" t="n"/>
      <c r="D62" s="2137" t="n"/>
      <c r="E62" s="2138" t="n"/>
      <c r="F62" s="2138" t="n"/>
      <c r="G62" s="2138" t="n"/>
      <c r="H62" s="2138" t="n"/>
      <c r="I62" s="2138" t="n"/>
      <c r="J62" s="1521" t="n"/>
      <c r="K62" s="2152">
        <f>SUM(D62:I62)</f>
        <v/>
      </c>
      <c r="L62" s="2112" t="n"/>
      <c r="M62" s="2152">
        <f>C62-SUM(K17:K18)*24-SUM(K20:K21)*12</f>
        <v/>
      </c>
      <c r="N62" s="1521" t="n"/>
      <c r="O62" s="1521" t="inlineStr">
        <is>
          <t>Doos á</t>
        </is>
      </c>
      <c r="P62" s="1521" t="n"/>
      <c r="Q62" s="2137" t="n">
        <v>10000</v>
      </c>
      <c r="R62" s="2125">
        <f>K62/Q62</f>
        <v/>
      </c>
    </row>
    <row r="63" ht="15" customFormat="1" customHeight="1" s="1425">
      <c r="B63" s="1099" t="n"/>
      <c r="C63" s="1521" t="n"/>
      <c r="D63" s="1521" t="n"/>
      <c r="E63" s="1521" t="n"/>
      <c r="F63" s="1521" t="n"/>
      <c r="G63" s="1521" t="n"/>
      <c r="H63" s="1521" t="n"/>
      <c r="I63" s="1521" t="n"/>
      <c r="J63" s="1521" t="n"/>
      <c r="K63" s="2152" t="n"/>
      <c r="L63" s="2112" t="n"/>
      <c r="M63" s="2177" t="n"/>
      <c r="N63" s="1521" t="n"/>
      <c r="O63" s="2182" t="inlineStr">
        <is>
          <t>Inhoud doos kan variëren!</t>
        </is>
      </c>
    </row>
    <row r="64" outlineLevel="1" ht="15" customFormat="1" customHeight="1" s="1425">
      <c r="B64" s="2016" t="inlineStr">
        <is>
          <t>Fles 75cl</t>
        </is>
      </c>
      <c r="C64" s="2179" t="n"/>
      <c r="D64" s="2165" t="n"/>
      <c r="E64" s="2166" t="n"/>
      <c r="F64" s="2166" t="n"/>
      <c r="G64" s="2166" t="n"/>
      <c r="H64" s="2166" t="n"/>
      <c r="I64" s="2166" t="n"/>
      <c r="J64" s="1521" t="n"/>
      <c r="K64" s="2152">
        <f>SUM(D64:I64)</f>
        <v/>
      </c>
      <c r="L64" s="2112" t="n"/>
      <c r="M64" s="2177">
        <f>K64-SUM(K23:K24)*6-K25*12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>Stickerlabel 75cl - Main</t>
        </is>
      </c>
      <c r="C65" s="2183" t="n"/>
      <c r="D65" s="2151" t="n"/>
      <c r="E65" s="2150" t="n"/>
      <c r="F65" s="2150" t="n"/>
      <c r="G65" s="2150" t="n"/>
      <c r="H65" s="2150" t="n"/>
      <c r="I65" s="2150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016" t="inlineStr">
        <is>
          <t>Stickerlabel 75cl - Neck</t>
        </is>
      </c>
      <c r="C66" s="2183" t="n"/>
      <c r="D66" s="2167" t="n"/>
      <c r="E66" s="2184" t="n"/>
      <c r="F66" s="2184" t="n"/>
      <c r="G66" s="2184" t="n"/>
      <c r="H66" s="2184" t="n"/>
      <c r="I66" s="2184" t="n"/>
      <c r="J66" s="1521" t="n"/>
      <c r="K66" s="2152">
        <f>SUM(D66:I66)</f>
        <v/>
      </c>
      <c r="L66" s="2112" t="n"/>
      <c r="M66" s="2177">
        <f>K66-K23*6</f>
        <v/>
      </c>
      <c r="N66" s="1521" t="n"/>
      <c r="O66" s="1521" t="n"/>
      <c r="P66" s="1521" t="n"/>
      <c r="Q66" s="1521" t="n"/>
    </row>
    <row r="67" outlineLevel="1" ht="15" customFormat="1" customHeight="1" s="1425">
      <c r="B67" s="2185" t="n"/>
      <c r="C67" s="2186" t="n"/>
      <c r="D67" s="2187" t="n"/>
      <c r="E67" s="2187" t="n"/>
      <c r="F67" s="2187" t="n"/>
      <c r="G67" s="2187" t="n"/>
      <c r="H67" s="2187" t="n"/>
      <c r="I67" s="2187" t="n"/>
      <c r="J67" s="1521" t="n"/>
      <c r="K67" s="2152" t="n"/>
      <c r="L67" s="2112" t="n"/>
      <c r="M67" s="2177" t="n"/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>Omdozen 6x75cl - Bedrukt:</t>
        </is>
      </c>
      <c r="C68" s="2179" t="n"/>
      <c r="D68" s="2165" t="n"/>
      <c r="E68" s="2166" t="n"/>
      <c r="F68" s="2166" t="n"/>
      <c r="G68" s="2166" t="n"/>
      <c r="H68" s="2166" t="n"/>
      <c r="I68" s="2166" t="n"/>
      <c r="J68" s="1521" t="n"/>
      <c r="K68" s="2152">
        <f>SUM(D68:I68)</f>
        <v/>
      </c>
      <c r="L68" s="2112" t="n"/>
      <c r="M68" s="2152">
        <f>K68-K23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2016" t="inlineStr">
        <is>
          <t>Omdozen 6x75cl - Blanco</t>
        </is>
      </c>
      <c r="C69" s="2188" t="n"/>
      <c r="D69" s="2160" t="n"/>
      <c r="E69" s="2161" t="n"/>
      <c r="F69" s="2161" t="n"/>
      <c r="G69" s="2161" t="n"/>
      <c r="H69" s="2161" t="n"/>
      <c r="I69" s="2161" t="n"/>
      <c r="J69" s="1521" t="n"/>
      <c r="K69" s="2152">
        <f>SUM(D69:I69)</f>
        <v/>
      </c>
      <c r="L69" s="2112" t="n"/>
      <c r="M69" s="2152">
        <f>K69-K24</f>
        <v/>
      </c>
      <c r="N69" s="1521" t="n"/>
      <c r="O69" s="1521" t="n"/>
      <c r="P69" s="1521" t="n"/>
      <c r="Q69" s="1521" t="n"/>
    </row>
    <row r="70" outlineLevel="1" ht="15" customFormat="1" customHeight="1" s="1425">
      <c r="B70" s="1099" t="n"/>
      <c r="C70" s="2170" t="n"/>
      <c r="D70" s="1521" t="n"/>
      <c r="E70" s="1521" t="n"/>
      <c r="F70" s="1521" t="n"/>
      <c r="G70" s="1521" t="n"/>
      <c r="H70" s="1521" t="n"/>
      <c r="I70" s="1521" t="n"/>
      <c r="J70" s="1521" t="n"/>
      <c r="K70" s="2152" t="n"/>
      <c r="L70" s="2112" t="n"/>
      <c r="M70" s="2152" t="n"/>
      <c r="N70" s="1521" t="n"/>
      <c r="O70" s="1521" t="n"/>
      <c r="P70" s="1521" t="n"/>
      <c r="Q70" s="1521" t="n"/>
    </row>
    <row r="71" outlineLevel="1" ht="15" customFormat="1" customHeight="1" s="1425">
      <c r="B71" s="2016" t="inlineStr">
        <is>
          <t>Kurk:</t>
        </is>
      </c>
      <c r="C71" s="2179" t="n"/>
      <c r="D71" s="2165" t="n"/>
      <c r="E71" s="2166" t="n"/>
      <c r="F71" s="2166" t="n"/>
      <c r="G71" s="2166" t="n"/>
      <c r="H71" s="2166" t="n"/>
      <c r="I71" s="2166" t="n"/>
      <c r="J71" s="1521" t="n"/>
      <c r="K71" s="2152">
        <f>SUM(D71:I71)</f>
        <v/>
      </c>
      <c r="L71" s="2112" t="n"/>
      <c r="M71" s="2152">
        <f>K71-SUM(K23:K24)*6-K25*12</f>
        <v/>
      </c>
      <c r="N71" s="1521" t="n"/>
      <c r="O71" s="1521" t="inlineStr">
        <is>
          <t>Doos á</t>
        </is>
      </c>
      <c r="P71" s="1521" t="n"/>
      <c r="Q71" s="2189" t="n">
        <v>2500</v>
      </c>
      <c r="R71" s="2125">
        <f>K71/Q71</f>
        <v/>
      </c>
    </row>
    <row r="72" outlineLevel="1" ht="15" customFormat="1" customHeight="1" s="1425">
      <c r="B72" s="2016" t="inlineStr">
        <is>
          <t>Musseletten:</t>
        </is>
      </c>
      <c r="C72" s="2188" t="n"/>
      <c r="D72" s="2160" t="n"/>
      <c r="E72" s="2161" t="n"/>
      <c r="F72" s="2161" t="n"/>
      <c r="G72" s="2161" t="n"/>
      <c r="H72" s="2161" t="n"/>
      <c r="I72" s="2161" t="n"/>
      <c r="J72" s="2170" t="n"/>
      <c r="K72" s="2152">
        <f>SUM(D72:I72)</f>
        <v/>
      </c>
      <c r="L72" s="2112" t="n"/>
      <c r="M72" s="2152">
        <f>K72-SUM(K23:K24)*6--K25*12</f>
        <v/>
      </c>
      <c r="N72" s="1521" t="n"/>
      <c r="O72" s="1521" t="inlineStr">
        <is>
          <t>Doos á</t>
        </is>
      </c>
      <c r="P72" s="1521" t="n"/>
      <c r="Q72" s="2189" t="n">
        <v>2700</v>
      </c>
      <c r="R72" s="2125">
        <f>K72/Q72</f>
        <v/>
      </c>
    </row>
    <row r="73" ht="15" customFormat="1" customHeight="1" s="1425">
      <c r="B73" s="1099" t="n"/>
      <c r="C73" s="2170" t="n"/>
      <c r="D73" s="1521" t="n"/>
      <c r="E73" s="1521" t="n"/>
      <c r="F73" s="1521" t="n"/>
      <c r="G73" s="1521" t="n"/>
      <c r="H73" s="1521" t="n"/>
      <c r="I73" s="1521" t="n"/>
      <c r="J73" s="1521" t="n"/>
      <c r="K73" s="2190" t="n"/>
      <c r="L73" s="2112" t="n"/>
      <c r="M73" s="2177" t="n"/>
      <c r="N73" s="1521" t="n"/>
      <c r="O73" s="2182">
        <f>O63</f>
        <v/>
      </c>
    </row>
    <row r="74" outlineLevel="1" ht="15" customFormat="1" customHeight="1" s="1425">
      <c r="B74" s="2172" t="inlineStr">
        <is>
          <t>VERBRUIKEN BLIK-artikelen</t>
        </is>
      </c>
      <c r="C74" s="2147" t="inlineStr">
        <is>
          <t>Opmerkingen</t>
        </is>
      </c>
      <c r="D74" s="2010" t="inlineStr">
        <is>
          <t>Aantal</t>
        </is>
      </c>
      <c r="E74" s="2010" t="inlineStr">
        <is>
          <t>Aantal</t>
        </is>
      </c>
      <c r="F74" s="2010" t="inlineStr">
        <is>
          <t>Aantal</t>
        </is>
      </c>
      <c r="G74" s="2010" t="inlineStr">
        <is>
          <t>Aantal</t>
        </is>
      </c>
      <c r="H74" s="2010" t="inlineStr">
        <is>
          <t>Aantal</t>
        </is>
      </c>
      <c r="I74" s="2010" t="inlineStr">
        <is>
          <t>Aantal</t>
        </is>
      </c>
      <c r="J74" s="2112" t="n"/>
      <c r="K74" s="2010" t="inlineStr">
        <is>
          <t>TOTALEN</t>
        </is>
      </c>
      <c r="L74" s="2191" t="n"/>
      <c r="M74" s="2010" t="inlineStr">
        <is>
          <t>VERLIES</t>
        </is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>Blik 33cl</t>
        </is>
      </c>
      <c r="C75" s="2176" t="n"/>
      <c r="D75" s="2193" t="n"/>
      <c r="E75" s="2194" t="n"/>
      <c r="F75" s="2194" t="n"/>
      <c r="G75" s="2194" t="n"/>
      <c r="H75" s="2194" t="n"/>
      <c r="I75" s="2194" t="n"/>
      <c r="J75" s="1521" t="n"/>
      <c r="K75" s="2152">
        <f>SUM(D75:I75)</f>
        <v/>
      </c>
      <c r="L75" s="2112" t="n"/>
      <c r="M75" s="2177">
        <f>K75-(K28*12)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>Blik 44cl</t>
        </is>
      </c>
      <c r="C76" s="2195" t="n"/>
      <c r="D76" s="2196" t="n"/>
      <c r="E76" s="2197" t="n"/>
      <c r="F76" s="2197" t="n"/>
      <c r="G76" s="2197" t="n"/>
      <c r="H76" s="2197" t="n"/>
      <c r="I76" s="2197" t="n"/>
      <c r="J76" s="1521" t="n"/>
      <c r="K76" s="2152" t="n"/>
      <c r="L76" s="2112" t="n"/>
      <c r="M76" s="2177">
        <f>K76-(K29*12)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>Blik Deksel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>Stickerlabel 33cl blik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>
        <f>SUM(D78:I78)</f>
        <v/>
      </c>
      <c r="L78" s="2112" t="n"/>
      <c r="M78" s="2177">
        <f>K78-(K28*12)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>Stickerlabel 44cl blik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 t="n"/>
      <c r="L79" s="2112" t="n"/>
      <c r="M79" s="2177">
        <f>K79-(K29*12)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>Omdozen 12x33cl blik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>
        <f>SUM(D80:I80)</f>
        <v/>
      </c>
      <c r="L80" s="2112" t="n"/>
      <c r="M80" s="2152">
        <f>K80-K28</f>
        <v/>
      </c>
      <c r="N80" s="1521" t="n"/>
      <c r="O80" s="2182" t="n"/>
      <c r="P80" s="2182" t="n"/>
      <c r="Q80" s="2182" t="n"/>
      <c r="R80" s="2182" t="n"/>
    </row>
    <row r="81" outlineLevel="1" ht="15" customFormat="1" customHeight="1" s="1425">
      <c r="B81" s="2192" t="inlineStr">
        <is>
          <t>Omdozen 24x33cl blik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K81-K29</f>
        <v/>
      </c>
    </row>
    <row r="82" outlineLevel="1" ht="15" customFormat="1" customHeight="1" s="1425">
      <c r="B82" s="2192" t="inlineStr">
        <is>
          <t>Omdozen 12x44cl blik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K82-K30</f>
        <v/>
      </c>
    </row>
    <row r="83" outlineLevel="1" ht="15" customFormat="1" customHeight="1" s="1425">
      <c r="B83" s="2192" t="inlineStr">
        <is>
          <t>Omdozen 24x44cl blik - Blanco</t>
        </is>
      </c>
      <c r="C83" s="1615" t="n"/>
      <c r="D83" s="2167" t="n"/>
      <c r="E83" s="2184" t="n"/>
      <c r="F83" s="2184" t="n"/>
      <c r="G83" s="2184" t="n"/>
      <c r="H83" s="2184" t="n"/>
      <c r="I83" s="2184" t="n"/>
      <c r="J83" s="1521" t="n"/>
      <c r="K83" s="2152" t="n"/>
      <c r="L83" s="2112" t="n"/>
      <c r="M83" s="2152">
        <f>K83-K31</f>
        <v/>
      </c>
    </row>
    <row r="84" outlineLevel="1" ht="15" customFormat="1" customHeight="1" s="1425">
      <c r="B84" s="1099" t="n"/>
      <c r="C84" s="2170" t="n"/>
      <c r="D84" s="1521" t="n"/>
      <c r="E84" s="1521" t="n"/>
      <c r="F84" s="1521" t="n"/>
      <c r="G84" s="1521" t="n"/>
      <c r="H84" s="1521" t="n"/>
      <c r="I84" s="1521" t="n"/>
      <c r="J84" s="1521" t="n"/>
      <c r="K84" s="2190" t="n"/>
      <c r="L84" s="2112" t="n"/>
      <c r="M84" s="2177" t="n"/>
    </row>
    <row r="85" ht="15" customFormat="1" customHeight="1" s="1425">
      <c r="B85" s="2172" t="inlineStr">
        <is>
          <t>VERBRUIKEN FUST-artikelen</t>
        </is>
      </c>
      <c r="C85" s="2147" t="inlineStr">
        <is>
          <t>Opmerkingen</t>
        </is>
      </c>
      <c r="D85" s="2010" t="inlineStr">
        <is>
          <t>Aantal</t>
        </is>
      </c>
      <c r="E85" s="2010" t="inlineStr">
        <is>
          <t>Aantal</t>
        </is>
      </c>
      <c r="F85" s="2010" t="inlineStr">
        <is>
          <t>Aantal</t>
        </is>
      </c>
      <c r="G85" s="2010" t="inlineStr">
        <is>
          <t>Aantal</t>
        </is>
      </c>
      <c r="H85" s="2010" t="inlineStr">
        <is>
          <t>Aantal</t>
        </is>
      </c>
      <c r="I85" s="2010" t="inlineStr">
        <is>
          <t>Aantal</t>
        </is>
      </c>
      <c r="J85" s="2112" t="n"/>
      <c r="K85" s="2010" t="inlineStr">
        <is>
          <t>TOTALEN</t>
        </is>
      </c>
      <c r="L85" s="2191" t="n"/>
      <c r="M85" s="2010" t="inlineStr">
        <is>
          <t>VERLIES</t>
        </is>
      </c>
    </row>
    <row r="86" outlineLevel="1" ht="15" customFormat="1" customHeight="1" s="1425">
      <c r="B86" s="2016" t="inlineStr">
        <is>
          <t xml:space="preserve">Global Keg 20L: </t>
        </is>
      </c>
      <c r="C86" s="2176" t="n"/>
      <c r="D86" s="2193" t="n"/>
      <c r="E86" s="2194" t="n"/>
      <c r="F86" s="2194" t="n"/>
      <c r="G86" s="2194" t="n"/>
      <c r="H86" s="2194" t="n"/>
      <c r="I86" s="2194" t="n"/>
      <c r="J86" s="1521" t="n"/>
      <c r="K86" s="2152">
        <f>SUM(D86:I86)</f>
        <v/>
      </c>
      <c r="L86" s="2112" t="n"/>
      <c r="M86" s="2152">
        <f>K86-K34</f>
        <v/>
      </c>
    </row>
    <row r="87" outlineLevel="1" ht="15" customFormat="1" customHeight="1" s="1425">
      <c r="B87" s="2016" t="inlineStr">
        <is>
          <t xml:space="preserve">Jopen Fust 20L: 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K87-K35</f>
        <v/>
      </c>
    </row>
    <row r="88" outlineLevel="1" ht="15" customFormat="1" customHeight="1" s="1425">
      <c r="B88" s="2016" t="inlineStr">
        <is>
          <t xml:space="preserve">Jopen Fust 30L: </t>
        </is>
      </c>
      <c r="C88" s="1615" t="n"/>
      <c r="D88" s="2167" t="n"/>
      <c r="E88" s="2184" t="n"/>
      <c r="F88" s="2184" t="n"/>
      <c r="G88" s="2184" t="n"/>
      <c r="H88" s="2184" t="n"/>
      <c r="I88" s="2184" t="n"/>
      <c r="J88" s="2170" t="n"/>
      <c r="K88" s="2152">
        <f>SUM(D88:I88)</f>
        <v/>
      </c>
      <c r="L88" s="2112" t="n"/>
      <c r="M88" s="2152">
        <f>K88-K36</f>
        <v/>
      </c>
    </row>
    <row r="89" outlineLevel="1" ht="15" customFormat="1" customHeight="1" s="1425">
      <c r="B89" s="2016" t="inlineStr">
        <is>
          <t xml:space="preserve">Jopen Fust 50L: 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K89-K37</f>
        <v/>
      </c>
    </row>
    <row r="90" ht="15" customFormat="1" customHeight="1" s="1425">
      <c r="B90" s="2185" t="n"/>
      <c r="C90" s="2198" t="n"/>
      <c r="D90" s="2156" t="n"/>
      <c r="E90" s="2156" t="n"/>
      <c r="F90" s="2156" t="n"/>
      <c r="G90" s="2156" t="n"/>
      <c r="H90" s="2156" t="n"/>
      <c r="I90" s="2156" t="n"/>
      <c r="J90" s="1521" t="n"/>
      <c r="K90" s="2152" t="n"/>
      <c r="L90" s="2112" t="n"/>
      <c r="M90" s="2152" t="n"/>
    </row>
    <row r="91" outlineLevel="1" ht="15" customFormat="1" customHeight="1" s="1425">
      <c r="B91" s="2016" t="inlineStr">
        <is>
          <t xml:space="preserve">Fustdop: 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K91-SUM(K34:K37)</f>
        <v/>
      </c>
    </row>
    <row r="92" ht="15" customFormat="1" customHeight="1" s="1425">
      <c r="B92" s="1099" t="n"/>
      <c r="C92" s="2170" t="n"/>
      <c r="D92" s="1521" t="n"/>
      <c r="E92" s="1521" t="n"/>
      <c r="F92" s="1521" t="n"/>
      <c r="G92" s="1521" t="n"/>
      <c r="H92" s="1521" t="n"/>
      <c r="I92" s="1521" t="n"/>
      <c r="J92" s="2170" t="n"/>
      <c r="K92" s="2152" t="n"/>
      <c r="L92" s="2112" t="n"/>
      <c r="M92" s="2152" t="n"/>
    </row>
    <row r="93" outlineLevel="1" ht="15" customFormat="1" customHeight="1" s="1425">
      <c r="B93" s="2199" t="inlineStr">
        <is>
          <t>KeyKegFustdop:</t>
        </is>
      </c>
      <c r="C93" s="2179" t="n"/>
      <c r="D93" s="2193" t="n"/>
      <c r="E93" s="2194" t="n"/>
      <c r="F93" s="2194" t="n"/>
      <c r="G93" s="2194" t="n"/>
      <c r="H93" s="2194" t="n"/>
      <c r="I93" s="2194" t="n"/>
      <c r="J93" s="1521" t="n"/>
      <c r="K93" s="2152">
        <f>SUM(D93:I93)</f>
        <v/>
      </c>
      <c r="L93" s="2112" t="n"/>
      <c r="M93" s="2152">
        <f>K93-K34-K42</f>
        <v/>
      </c>
    </row>
    <row r="94" outlineLevel="1" ht="15" customFormat="1" customHeight="1" s="1425">
      <c r="B94" s="2200" t="inlineStr">
        <is>
          <t>KeyKeg 20L - Leeg</t>
        </is>
      </c>
      <c r="C94" s="2201" t="n"/>
      <c r="D94" s="2202" t="n"/>
      <c r="E94" s="2203" t="n"/>
      <c r="F94" s="2203" t="n"/>
      <c r="G94" s="2203" t="n"/>
      <c r="H94" s="2203" t="n"/>
      <c r="I94" s="2203" t="n"/>
      <c r="J94" s="1521" t="n"/>
      <c r="K94" s="2152">
        <f>SUM(D94:I94)</f>
        <v/>
      </c>
      <c r="L94" s="2112" t="n"/>
      <c r="M94" s="2152">
        <f>K94-K34</f>
        <v/>
      </c>
    </row>
    <row r="95" outlineLevel="1" ht="15" customFormat="1" customHeight="1" s="1425">
      <c r="B95" s="2016" t="inlineStr">
        <is>
          <t>KeyKeg 30L - Leeg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K95-K42</f>
        <v/>
      </c>
    </row>
    <row r="96" ht="15" customHeight="1" s="1339"/>
    <row r="97" ht="15" customHeight="1" s="1339"/>
    <row r="98" ht="15" customFormat="1" customHeight="1" s="1425">
      <c r="B98" s="2013" t="inlineStr">
        <is>
          <t>Ingevoerd in Mdrank</t>
        </is>
      </c>
      <c r="C98" s="2026" t="inlineStr">
        <is>
          <t>door:</t>
        </is>
      </c>
      <c r="D98" s="2205" t="n"/>
      <c r="E98" s="1115" t="n"/>
    </row>
    <row r="99" ht="15" customFormat="1" customHeight="1" s="1425">
      <c r="B99" s="2206" t="n"/>
      <c r="C99" s="2026" t="inlineStr">
        <is>
          <t>datum:</t>
        </is>
      </c>
      <c r="D99" s="2207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4:M44"/>
    <mergeCell ref="B3:B4"/>
    <mergeCell ref="B1:I2"/>
    <mergeCell ref="D99:E99"/>
    <mergeCell ref="M13:O13"/>
    <mergeCell ref="C3:E4"/>
    <mergeCell ref="O73:R73"/>
    <mergeCell ref="M12:O12"/>
    <mergeCell ref="Q8:R8"/>
    <mergeCell ref="H3:I4"/>
    <mergeCell ref="M8:O8"/>
    <mergeCell ref="B6:C11"/>
    <mergeCell ref="Q3:R4"/>
    <mergeCell ref="K49:M49"/>
    <mergeCell ref="Q9:R9"/>
    <mergeCell ref="B49:I49"/>
    <mergeCell ref="K15:M15"/>
    <mergeCell ref="O63:R63"/>
    <mergeCell ref="F3:G4"/>
    <mergeCell ref="D98:E98"/>
    <mergeCell ref="M9:O9"/>
    <mergeCell ref="O3:O4"/>
    <mergeCell ref="M1:R1"/>
  </mergeCells>
  <conditionalFormatting sqref="M45:M46">
    <cfRule type="cellIs" rank="0" priority="2" equalAverage="0" operator="greaterThan" aboveAverage="0" dxfId="29" text="" percent="0" bottom="0">
      <formula>0</formula>
    </cfRule>
  </conditionalFormatting>
  <conditionalFormatting sqref="M62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80:K83">
    <cfRule type="cellIs" rank="0" priority="8" equalAverage="0" operator="greaterThan" aboveAverage="0" dxfId="33" text="" percent="0" bottom="0">
      <formula>0</formula>
    </cfRule>
  </conditionalFormatting>
  <conditionalFormatting sqref="K78:K79">
    <cfRule type="cellIs" rank="0" priority="9" equalAverage="0" operator="greaterThan" aboveAverage="0" dxfId="33" text="" percent="0" bottom="0">
      <formula>0</formula>
    </cfRule>
  </conditionalFormatting>
  <conditionalFormatting sqref="K77">
    <cfRule type="cellIs" rank="0" priority="10" equalAverage="0" operator="greaterThan" aboveAverage="0" dxfId="33" text="" percent="0" bottom="0">
      <formula>0</formula>
    </cfRule>
  </conditionalFormatting>
  <conditionalFormatting sqref="K75:K76">
    <cfRule type="cellIs" rank="0" priority="11" equalAverage="0" operator="greaterThan" aboveAverage="0" dxfId="33" text="" percent="0" bottom="0">
      <formula>0</formula>
    </cfRule>
  </conditionalFormatting>
  <conditionalFormatting sqref="M74">
    <cfRule type="cellIs" rank="0" priority="12" equalAverage="0" operator="lessThan" aboveAverage="0" dxfId="12" text="" percent="0" bottom="0">
      <formula>0</formula>
    </cfRule>
  </conditionalFormatting>
  <conditionalFormatting sqref="K74">
    <cfRule type="cellIs" rank="0" priority="13" equalAverage="0" operator="lessThan" aboveAverage="0" dxfId="12" text="" percent="0" bottom="0">
      <formula>0</formula>
    </cfRule>
  </conditionalFormatting>
  <conditionalFormatting sqref="M75:M83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7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7">
    <cfRule type="cellIs" rank="0" priority="20" equalAverage="0" operator="greaterThan" aboveAverage="0" dxfId="8" text="" percent="0" bottom="0">
      <formula>0</formula>
    </cfRule>
  </conditionalFormatting>
  <conditionalFormatting sqref="M88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8">
    <cfRule type="cellIs" rank="0" priority="24" equalAverage="0" operator="greaterThan" aboveAverage="0" dxfId="8" text="" percent="0" bottom="0">
      <formula>0</formula>
    </cfRule>
  </conditionalFormatting>
  <conditionalFormatting sqref="M89:M90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9:K90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6">
    <cfRule type="cellIs" rank="0" priority="30" equalAverage="0" operator="equal" aboveAverage="0" dxfId="30" text="" percent="0" bottom="0">
      <formula>0</formula>
    </cfRule>
    <cfRule type="cellIs" rank="0" priority="31" equalAverage="0" operator="greaterThan" aboveAverage="0" dxfId="31" text="" percent="0" bottom="0">
      <formula>0</formula>
    </cfRule>
    <cfRule type="cellIs" rank="0" priority="32" equalAverage="0" operator="lessThan" aboveAverage="0" dxfId="12" text="" percent="0" bottom="0">
      <formula>0</formula>
    </cfRule>
  </conditionalFormatting>
  <conditionalFormatting sqref="K86">
    <cfRule type="cellIs" rank="0" priority="33" equalAverage="0" operator="greaterThan" aboveAverage="0" dxfId="8" text="" percent="0" bottom="0">
      <formula>0</formula>
    </cfRule>
  </conditionalFormatting>
  <conditionalFormatting sqref="M85">
    <cfRule type="cellIs" rank="0" priority="34" equalAverage="0" operator="lessThan" aboveAverage="0" dxfId="12" text="" percent="0" bottom="0">
      <formula>0</formula>
    </cfRule>
  </conditionalFormatting>
  <conditionalFormatting sqref="M34 M36:M42">
    <cfRule type="cellIs" rank="0" priority="35" equalAverage="0" operator="greaterThan" aboveAverage="0" dxfId="29" text="" percent="0" bottom="0">
      <formula>0</formula>
    </cfRule>
  </conditionalFormatting>
  <conditionalFormatting sqref="M51:M61 M63:M73 M84 M91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5">
    <cfRule type="cellIs" rank="0" priority="40" equalAverage="0" operator="lessThan" aboveAverage="0" dxfId="12" text="" percent="0" bottom="0">
      <formula>0</formula>
    </cfRule>
  </conditionalFormatting>
  <conditionalFormatting sqref="K51:K54 K56:K57 K59:K60 K64:K66 K68:K70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2 K45:K47 K91:K96 R62 R71:R72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