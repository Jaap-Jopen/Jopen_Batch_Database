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ept-voorblad" sheetId="1" state="visible" r:id="rId3"/>
    <sheet name="Brouwen" sheetId="2" state="visible" r:id="rId4"/>
    <sheet name="Gistkaart Invoer" sheetId="3" state="visible" r:id="rId5"/>
    <sheet name="Verwerking" sheetId="4" state="visible" r:id="rId6"/>
    <sheet name="Afvullen" sheetId="5" state="visible" r:id="rId7"/>
    <sheet name="Afvulverslag" sheetId="6" state="visible" r:id="rId8"/>
  </sheets>
  <definedNames>
    <definedName function="false" hidden="false" localSheetId="0" name="_xlnm.Print_Area" vbProcedure="false">'Recept-voorblad'!$A$1:$P$105</definedName>
    <definedName function="false" hidden="true" name="_xleta.ROUND" vbProcedure="false">#NAME?</definedName>
    <definedName function="false" hidden="true" name="_xleta.ROUNDUP" vbProcedure="false">#NAME?</definedName>
    <definedName function="false" hidden="true" name="_xleta.TYPE" vbProcedure="false">#NAME?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<sst xmlns="http://schemas.openxmlformats.org/spreadsheetml/2006/main" count="1452" uniqueCount="627">
  <si>
    <t xml:space="preserve">Receptuur</t>
  </si>
  <si>
    <t xml:space="preserve">WP Lekker in de Kauw (Bird) 40(NIET AF)</t>
  </si>
  <si>
    <t xml:space="preserve">Naam bier</t>
  </si>
  <si>
    <t xml:space="preserve">Batch nr.:</t>
  </si>
  <si>
    <t xml:space="preserve">Naam Brouwerij</t>
  </si>
  <si>
    <t xml:space="preserve">Bier stijl</t>
  </si>
  <si>
    <t xml:space="preserve">Aantal brouwsels</t>
  </si>
  <si>
    <t xml:space="preserve">Datum orderpicken:</t>
  </si>
  <si>
    <t xml:space="preserve">-</t>
  </si>
  <si>
    <t xml:space="preserve">Brouwsel (hl)</t>
  </si>
  <si>
    <t xml:space="preserve">Eindproduct specificaties</t>
  </si>
  <si>
    <t xml:space="preserve">Parameter</t>
  </si>
  <si>
    <t xml:space="preserve">Unit</t>
  </si>
  <si>
    <t xml:space="preserve">+/-</t>
  </si>
  <si>
    <t xml:space="preserve">Spec,</t>
  </si>
  <si>
    <t xml:space="preserve">Origineel extract</t>
  </si>
  <si>
    <t xml:space="preserve">°P</t>
  </si>
  <si>
    <t xml:space="preserve">Troebeling (Lab)</t>
  </si>
  <si>
    <t xml:space="preserve">EBC</t>
  </si>
  <si>
    <t xml:space="preserve">Rest extract</t>
  </si>
  <si>
    <t xml:space="preserve">CO2 fles</t>
  </si>
  <si>
    <t xml:space="preserve">g/l</t>
  </si>
  <si>
    <t xml:space="preserve">Alcohol</t>
  </si>
  <si>
    <t xml:space="preserve">v/v%</t>
  </si>
  <si>
    <t xml:space="preserve">CO2 Can</t>
  </si>
  <si>
    <t xml:space="preserve">Bitterheid</t>
  </si>
  <si>
    <t xml:space="preserve">EBU</t>
  </si>
  <si>
    <t xml:space="preserve">CO2 fust</t>
  </si>
  <si>
    <t xml:space="preserve">Kleur</t>
  </si>
  <si>
    <t xml:space="preserve">Headspace O2</t>
  </si>
  <si>
    <t xml:space="preserve">ppb</t>
  </si>
  <si>
    <t xml:space="preserve">Bier risico</t>
  </si>
  <si>
    <t xml:space="preserve">pH</t>
  </si>
  <si>
    <t xml:space="preserve">Dissolved O2</t>
  </si>
  <si>
    <t xml:space="preserve">ADF %</t>
  </si>
  <si>
    <t xml:space="preserve">Process paramaters</t>
  </si>
  <si>
    <t xml:space="preserve">°C</t>
  </si>
  <si>
    <t xml:space="preserve">Vergistingstijd</t>
  </si>
  <si>
    <t xml:space="preserve">dagen</t>
  </si>
  <si>
    <t xml:space="preserve">Bier status</t>
  </si>
  <si>
    <t xml:space="preserve">Main Fermentation </t>
  </si>
  <si>
    <t xml:space="preserve">Lagertijd</t>
  </si>
  <si>
    <t xml:space="preserve">T release,</t>
  </si>
  <si>
    <t xml:space="preserve">Lager temp,</t>
  </si>
  <si>
    <t xml:space="preserve">Temp, Dry, Warm,</t>
  </si>
  <si>
    <t xml:space="preserve">Pasteurisatie</t>
  </si>
  <si>
    <t xml:space="preserve">PU</t>
  </si>
  <si>
    <t xml:space="preserve">Extract dry, Warm 1</t>
  </si>
  <si>
    <t xml:space="preserve">Troebeling na Sep</t>
  </si>
  <si>
    <t xml:space="preserve">Extract dry, Warm 2</t>
  </si>
  <si>
    <t xml:space="preserve">Bitterheid BH</t>
  </si>
  <si>
    <t xml:space="preserve">EBU </t>
  </si>
  <si>
    <t xml:space="preserve">Extract dry, Warm 3</t>
  </si>
  <si>
    <t xml:space="preserve">Malts and grains</t>
  </si>
  <si>
    <t xml:space="preserve">Soort</t>
  </si>
  <si>
    <t xml:space="preserve">KG</t>
  </si>
  <si>
    <t xml:space="preserve">TOT</t>
  </si>
  <si>
    <t xml:space="preserve">%</t>
  </si>
  <si>
    <t xml:space="preserve">Lotnummer</t>
  </si>
  <si>
    <t xml:space="preserve">Totaal kg:</t>
  </si>
  <si>
    <t xml:space="preserve">Totaal:</t>
  </si>
  <si>
    <t xml:space="preserve">Berekende kleur:</t>
  </si>
  <si>
    <t xml:space="preserve">Hops and herbs</t>
  </si>
  <si>
    <t xml:space="preserve">alpha</t>
  </si>
  <si>
    <t xml:space="preserve">Gram</t>
  </si>
  <si>
    <t xml:space="preserve">Kooktijd</t>
  </si>
  <si>
    <t xml:space="preserve">Rendement</t>
  </si>
  <si>
    <t xml:space="preserve">Totaal gram:</t>
  </si>
  <si>
    <t xml:space="preserve">Totale bitterheid:</t>
  </si>
  <si>
    <t xml:space="preserve">Totaal kg hop:</t>
  </si>
  <si>
    <t xml:space="preserve">Hop totaal gewicht</t>
  </si>
  <si>
    <t xml:space="preserve">Hop soort</t>
  </si>
  <si>
    <t xml:space="preserve">Totaal gram</t>
  </si>
  <si>
    <t xml:space="preserve">Additions Brewers</t>
  </si>
  <si>
    <t xml:space="preserve">Hoeveelheid</t>
  </si>
  <si>
    <t xml:space="preserve">Wanneer</t>
  </si>
  <si>
    <t xml:space="preserve">Dry yeast</t>
  </si>
  <si>
    <t xml:space="preserve">Brews/1st day</t>
  </si>
  <si>
    <t xml:space="preserve">Hoeveelheid per batch</t>
  </si>
  <si>
    <t xml:space="preserve">g</t>
  </si>
  <si>
    <t xml:space="preserve">Additions Cellar</t>
  </si>
  <si>
    <t xml:space="preserve">Type</t>
  </si>
  <si>
    <t xml:space="preserve">Quantity</t>
  </si>
  <si>
    <t xml:space="preserve">When</t>
  </si>
  <si>
    <t xml:space="preserve">Target Water Profile(values in PPM)</t>
  </si>
  <si>
    <t xml:space="preserve">Ca</t>
  </si>
  <si>
    <t xml:space="preserve">Mg</t>
  </si>
  <si>
    <t xml:space="preserve">Na</t>
  </si>
  <si>
    <t xml:space="preserve">Cl</t>
  </si>
  <si>
    <t xml:space="preserve">SO4</t>
  </si>
  <si>
    <t xml:space="preserve">Ratio Cl:SO4</t>
  </si>
  <si>
    <t xml:space="preserve">Alkalinity</t>
  </si>
  <si>
    <t xml:space="preserve">Revisie nummer</t>
  </si>
  <si>
    <t xml:space="preserve">Wijziging</t>
  </si>
  <si>
    <t xml:space="preserve">Datum</t>
  </si>
  <si>
    <t xml:space="preserve">Door</t>
  </si>
  <si>
    <t xml:space="preserve"> </t>
  </si>
  <si>
    <t xml:space="preserve">Brouw specificaties </t>
  </si>
  <si>
    <t xml:space="preserve">Invullen op de brouwdag </t>
  </si>
  <si>
    <t xml:space="preserve">Batchnummer</t>
  </si>
  <si>
    <t xml:space="preserve">Brouwsel nr,</t>
  </si>
  <si>
    <t xml:space="preserve">Order nr, Software</t>
  </si>
  <si>
    <t xml:space="preserve">GLT</t>
  </si>
  <si>
    <t xml:space="preserve">Datum 1e brouwsel</t>
  </si>
  <si>
    <t xml:space="preserve">Naam brouwer</t>
  </si>
  <si>
    <t xml:space="preserve">Start inmaischen (dd-mm uu:mm)</t>
  </si>
  <si>
    <t xml:space="preserve">Recept specificaties</t>
  </si>
  <si>
    <t xml:space="preserve">Maischen</t>
  </si>
  <si>
    <t xml:space="preserve">Gewenste stamwort</t>
  </si>
  <si>
    <t xml:space="preserve">⁰P</t>
  </si>
  <si>
    <t xml:space="preserve">Maisch water</t>
  </si>
  <si>
    <t xml:space="preserve">hl</t>
  </si>
  <si>
    <t xml:space="preserve">Receptnaam Software</t>
  </si>
  <si>
    <t xml:space="preserve">Gewenste eind plato</t>
  </si>
  <si>
    <t xml:space="preserve">pH na inmaischen</t>
  </si>
  <si>
    <t xml:space="preserve">Correctie zuur </t>
  </si>
  <si>
    <t xml:space="preserve">pH Maische</t>
  </si>
  <si>
    <t xml:space="preserve">pH na correctie</t>
  </si>
  <si>
    <t xml:space="preserve">Beslag dikte</t>
  </si>
  <si>
    <t xml:space="preserve">pH Start koken</t>
  </si>
  <si>
    <t xml:space="preserve">Joodnormaal test OK?</t>
  </si>
  <si>
    <t xml:space="preserve">pH Eind Koken</t>
  </si>
  <si>
    <t xml:space="preserve">Afwijking maische schema?</t>
  </si>
  <si>
    <t xml:space="preserve">Beluchting</t>
  </si>
  <si>
    <t xml:space="preserve">Spoelwater</t>
  </si>
  <si>
    <t xml:space="preserve">Verwacht extract begin kook</t>
  </si>
  <si>
    <t xml:space="preserve">Wort naar gisttank Temp</t>
  </si>
  <si>
    <t xml:space="preserve">Filtratie &amp; voorloopvat</t>
  </si>
  <si>
    <t xml:space="preserve">Volume kook</t>
  </si>
  <si>
    <t xml:space="preserve">Plato 1e wortvolume</t>
  </si>
  <si>
    <t xml:space="preserve">Wortvoorkoeler temp</t>
  </si>
  <si>
    <t xml:space="preserve">Extract laatste afloop</t>
  </si>
  <si>
    <t xml:space="preserve">Eerste afloop</t>
  </si>
  <si>
    <t xml:space="preserve">Gewenste verdamping</t>
  </si>
  <si>
    <t xml:space="preserve">Intensiteit koken</t>
  </si>
  <si>
    <t xml:space="preserve">kJ/s</t>
  </si>
  <si>
    <t xml:space="preserve">Filtratie tijd</t>
  </si>
  <si>
    <t xml:space="preserve">min</t>
  </si>
  <si>
    <t xml:space="preserve">Whirlpool rust</t>
  </si>
  <si>
    <t xml:space="preserve">Koken</t>
  </si>
  <si>
    <t xml:space="preserve">Maisch schema</t>
  </si>
  <si>
    <t xml:space="preserve">pH begin kook</t>
  </si>
  <si>
    <t xml:space="preserve">Inmaischen</t>
  </si>
  <si>
    <t xml:space="preserve"> ⁰C</t>
  </si>
  <si>
    <t xml:space="preserve">Minuten rust</t>
  </si>
  <si>
    <t xml:space="preserve">Toevoegingen </t>
  </si>
  <si>
    <t xml:space="preserve">Moment</t>
  </si>
  <si>
    <t xml:space="preserve">Extract begin kook</t>
  </si>
  <si>
    <t xml:space="preserve">Verhogen naar</t>
  </si>
  <si>
    <t xml:space="preserve">V begin kook (80°C)</t>
  </si>
  <si>
    <t xml:space="preserve">Zuurcorrectie</t>
  </si>
  <si>
    <t xml:space="preserve">pH na zuurcorrectie / tijd</t>
  </si>
  <si>
    <t xml:space="preserve">Totale kooktijd</t>
  </si>
  <si>
    <t xml:space="preserve">Uitmaischen op</t>
  </si>
  <si>
    <t xml:space="preserve">Verdamping</t>
  </si>
  <si>
    <t xml:space="preserve">Extra toevoeging</t>
  </si>
  <si>
    <t xml:space="preserve">Extract einde kook</t>
  </si>
  <si>
    <t xml:space="preserve">Whirlpool/ Einde kook</t>
  </si>
  <si>
    <t xml:space="preserve">Volume whirlpool</t>
  </si>
  <si>
    <t xml:space="preserve">Extract</t>
  </si>
  <si>
    <t xml:space="preserve">Hop dosering</t>
  </si>
  <si>
    <t xml:space="preserve">HDT:</t>
  </si>
  <si>
    <t xml:space="preserve">Hopgift</t>
  </si>
  <si>
    <t xml:space="preserve">Werkelijke rust tijd</t>
  </si>
  <si>
    <t xml:space="preserve">Water additie</t>
  </si>
  <si>
    <t xml:space="preserve">Volume brouwsel</t>
  </si>
  <si>
    <t xml:space="preserve">Volume GLT</t>
  </si>
  <si>
    <t xml:space="preserve">Extract Tank</t>
  </si>
  <si>
    <t xml:space="preserve">hl*plato</t>
  </si>
  <si>
    <t xml:space="preserve">hl°P</t>
  </si>
  <si>
    <t xml:space="preserve">Opmerkingen :</t>
  </si>
  <si>
    <t xml:space="preserve">Droge Gist enting:</t>
  </si>
  <si>
    <t xml:space="preserve">Einde brouwen (dd-mm uu:mm)</t>
  </si>
  <si>
    <t xml:space="preserve">Temp start</t>
  </si>
  <si>
    <t xml:space="preserve">Totale tijd brouwen</t>
  </si>
  <si>
    <t xml:space="preserve">uur</t>
  </si>
  <si>
    <t xml:space="preserve">Temp max</t>
  </si>
  <si>
    <t xml:space="preserve">Giststam</t>
  </si>
  <si>
    <t xml:space="preserve">Gerehydrateerd?</t>
  </si>
  <si>
    <t xml:space="preserve">Gewicht [gram]</t>
  </si>
  <si>
    <t xml:space="preserve">Bij 1e brouwsel</t>
  </si>
  <si>
    <t xml:space="preserve">Geënt op (datum):</t>
  </si>
  <si>
    <t xml:space="preserve">Door:</t>
  </si>
  <si>
    <t xml:space="preserve">Programma aan?</t>
  </si>
  <si>
    <t xml:space="preserve">HL at GLT</t>
  </si>
  <si>
    <t xml:space="preserve">pH at GLT</t>
  </si>
  <si>
    <t xml:space="preserve">Total time</t>
  </si>
  <si>
    <t xml:space="preserve">mash efficiency</t>
  </si>
  <si>
    <t xml:space="preserve">Boil efficiency </t>
  </si>
  <si>
    <t xml:space="preserve">BH efficiency</t>
  </si>
  <si>
    <t xml:space="preserve">WP Losses</t>
  </si>
  <si>
    <t xml:space="preserve">last run</t>
  </si>
  <si>
    <t xml:space="preserve">MASH pH</t>
  </si>
  <si>
    <t xml:space="preserve">filtration time</t>
  </si>
  <si>
    <t xml:space="preserve">hl strong run 20C</t>
  </si>
  <si>
    <t xml:space="preserve">HL*P Boil</t>
  </si>
  <si>
    <t xml:space="preserve">name </t>
  </si>
  <si>
    <t xml:space="preserve">batch </t>
  </si>
  <si>
    <t xml:space="preserve">Value </t>
  </si>
  <si>
    <t xml:space="preserve">target</t>
  </si>
  <si>
    <t xml:space="preserve">extract in - moisture (5%)</t>
  </si>
  <si>
    <t xml:space="preserve">Date </t>
  </si>
  <si>
    <t xml:space="preserve">P° at GLT</t>
  </si>
  <si>
    <t xml:space="preserve">Comment</t>
  </si>
  <si>
    <t xml:space="preserve">Specificaties</t>
  </si>
  <si>
    <t xml:space="preserve">Batch</t>
  </si>
  <si>
    <t xml:space="preserve">LT</t>
  </si>
  <si>
    <t xml:space="preserve">Spec</t>
  </si>
  <si>
    <t xml:space="preserve">Original extract</t>
  </si>
  <si>
    <t xml:space="preserve">Lagering time</t>
  </si>
  <si>
    <t xml:space="preserve">days</t>
  </si>
  <si>
    <t xml:space="preserve">Temp, Warm dryhop 1</t>
  </si>
  <si>
    <t xml:space="preserve">Extract warm dryhop 1</t>
  </si>
  <si>
    <t xml:space="preserve">pH end product</t>
  </si>
  <si>
    <t xml:space="preserve">Extract warm dryhop 2</t>
  </si>
  <si>
    <t xml:space="preserve">%v/v</t>
  </si>
  <si>
    <t xml:space="preserve">Extract warm dryhop 3</t>
  </si>
  <si>
    <t xml:space="preserve">Berekeningen</t>
  </si>
  <si>
    <t xml:space="preserve">Fermentation time</t>
  </si>
  <si>
    <t xml:space="preserve">ADF</t>
  </si>
  <si>
    <t xml:space="preserve">%w/w</t>
  </si>
  <si>
    <t xml:space="preserve">Cellar addition</t>
  </si>
  <si>
    <t xml:space="preserve">Theoretical ABV</t>
  </si>
  <si>
    <t xml:space="preserve">Dagen</t>
  </si>
  <si>
    <t xml:space="preserve">Plato</t>
  </si>
  <si>
    <t xml:space="preserve">Temp Hoog</t>
  </si>
  <si>
    <t xml:space="preserve">Temp Laag</t>
  </si>
  <si>
    <t xml:space="preserve">div,</t>
  </si>
  <si>
    <t xml:space="preserve">Timer</t>
  </si>
  <si>
    <t xml:space="preserve">Plato afname</t>
  </si>
  <si>
    <t xml:space="preserve">Tijd tussen meting</t>
  </si>
  <si>
    <t xml:space="preserve">Tijd</t>
  </si>
  <si>
    <t xml:space="preserve">Actie</t>
  </si>
  <si>
    <t xml:space="preserve">Opmerkingen</t>
  </si>
  <si>
    <t xml:space="preserve">Operator</t>
  </si>
  <si>
    <t xml:space="preserve">laatste brouwsel</t>
  </si>
  <si>
    <t xml:space="preserve">datum</t>
  </si>
  <si>
    <t xml:space="preserve">dry warm</t>
  </si>
  <si>
    <t xml:space="preserve">dryhopping</t>
  </si>
  <si>
    <t xml:space="preserve">koelen</t>
  </si>
  <si>
    <t xml:space="preserve">toevoeging</t>
  </si>
  <si>
    <t xml:space="preserve">sample naar lab</t>
  </si>
  <si>
    <t xml:space="preserve">NAGARDO ADD calculator</t>
  </si>
  <si>
    <t xml:space="preserve">Batch volume (fill in)</t>
  </si>
  <si>
    <t xml:space="preserve">liter</t>
  </si>
  <si>
    <t xml:space="preserve">Dosing  (fill in)</t>
  </si>
  <si>
    <t xml:space="preserve">ppm</t>
  </si>
  <si>
    <t xml:space="preserve">Nagardo weight (calc-ed)</t>
  </si>
  <si>
    <t xml:space="preserve">gram</t>
  </si>
  <si>
    <t xml:space="preserve">Volume water (calc-ed)</t>
  </si>
  <si>
    <t xml:space="preserve">PGA - Alginate add calculator</t>
  </si>
  <si>
    <t xml:space="preserve">Alginate</t>
  </si>
  <si>
    <t xml:space="preserve">hot water for 2% solution</t>
  </si>
  <si>
    <t xml:space="preserve">volume pre-fuge at  0,4l/Hl</t>
  </si>
  <si>
    <t xml:space="preserve">Nano Flavor pre-concentration</t>
  </si>
  <si>
    <t xml:space="preserve">Nano Flavor Dialysis</t>
  </si>
  <si>
    <t xml:space="preserve">Steps: Fields with "&gt;" to be filled.</t>
  </si>
  <si>
    <t xml:space="preserve">Target 7,5°P</t>
  </si>
  <si>
    <t xml:space="preserve">OGW added</t>
  </si>
  <si>
    <t xml:space="preserve">Alcohol from AP</t>
  </si>
  <si>
    <t xml:space="preserve">1.</t>
  </si>
  <si>
    <t xml:space="preserve">Fill in initial rest extract from Anton Paar results</t>
  </si>
  <si>
    <t xml:space="preserve">Initial Rest Extract</t>
  </si>
  <si>
    <t xml:space="preserve">Initial alcohol at</t>
  </si>
  <si>
    <t xml:space="preserve">&gt; hl</t>
  </si>
  <si>
    <t xml:space="preserve">2.</t>
  </si>
  <si>
    <t xml:space="preserve">Fill in initial volume from tank overview</t>
  </si>
  <si>
    <t xml:space="preserve">Initial Volume</t>
  </si>
  <si>
    <t xml:space="preserve">&gt;Alcohol after</t>
  </si>
  <si>
    <t xml:space="preserve">3.</t>
  </si>
  <si>
    <t xml:space="preserve">Start Nano Flavor, fill in calculated 'volume removed' at pre-concentration step in order start</t>
  </si>
  <si>
    <t xml:space="preserve">Target Rest Extract</t>
  </si>
  <si>
    <t xml:space="preserve">4.</t>
  </si>
  <si>
    <t xml:space="preserve">When volume is removed Nano Flavor goes to Dialysis</t>
  </si>
  <si>
    <t xml:space="preserve">5.</t>
  </si>
  <si>
    <t xml:space="preserve">Fill in Initial alcohol from Anton Paar results</t>
  </si>
  <si>
    <t xml:space="preserve">Volume permeate line</t>
  </si>
  <si>
    <t xml:space="preserve">6.</t>
  </si>
  <si>
    <t xml:space="preserve">Next day, take Anton Paar sample, fill in alcohol from Anton Paar result in next empty square</t>
  </si>
  <si>
    <t xml:space="preserve">Target Alcohol</t>
  </si>
  <si>
    <t xml:space="preserve">7.</t>
  </si>
  <si>
    <t xml:space="preserve">Also fill in the Dialysis OGW added taken from Nano Flavor screen</t>
  </si>
  <si>
    <t xml:space="preserve">Constants</t>
  </si>
  <si>
    <t xml:space="preserve">8.</t>
  </si>
  <si>
    <t xml:space="preserve">Now you get an indication on how long the process will take</t>
  </si>
  <si>
    <t xml:space="preserve">Total volume to add in OGW</t>
  </si>
  <si>
    <t xml:space="preserve">&gt;Volume OGW added</t>
  </si>
  <si>
    <t xml:space="preserve">&gt;Current permeate flow</t>
  </si>
  <si>
    <t xml:space="preserve">hl/h</t>
  </si>
  <si>
    <t xml:space="preserve">Current alcohol content</t>
  </si>
  <si>
    <t xml:space="preserve">Volume remaining</t>
  </si>
  <si>
    <t xml:space="preserve">Time remaining</t>
  </si>
  <si>
    <t xml:space="preserve">hrs</t>
  </si>
  <si>
    <t xml:space="preserve">Finish time</t>
  </si>
  <si>
    <t xml:space="preserve">Verwerking</t>
  </si>
  <si>
    <t xml:space="preserve">Beer name</t>
  </si>
  <si>
    <t xml:space="preserve">Batchnummer:</t>
  </si>
  <si>
    <t xml:space="preserve">Check before processing: </t>
  </si>
  <si>
    <t xml:space="preserve">Specificaties </t>
  </si>
  <si>
    <t xml:space="preserve">Beer risk category</t>
  </si>
  <si>
    <t xml:space="preserve">- Minimum maturation = 5 days.</t>
  </si>
  <si>
    <t xml:space="preserve">unit</t>
  </si>
  <si>
    <t xml:space="preserve">spec,</t>
  </si>
  <si>
    <t xml:space="preserve">- Cellar adds completed</t>
  </si>
  <si>
    <t xml:space="preserve">Turbidity after centrifuge</t>
  </si>
  <si>
    <t xml:space="preserve">CO2 spec HBT bottle</t>
  </si>
  <si>
    <t xml:space="preserve">- CO2 spec bottle &amp; can both in SAME HBT =</t>
  </si>
  <si>
    <t xml:space="preserve">Pasteurisation</t>
  </si>
  <si>
    <t xml:space="preserve">CO2  spec HBT KEG</t>
  </si>
  <si>
    <t xml:space="preserve"> middle between both specs </t>
  </si>
  <si>
    <t xml:space="preserve">O2 in HBT</t>
  </si>
  <si>
    <t xml:space="preserve">&lt;</t>
  </si>
  <si>
    <t xml:space="preserve">CO2 spec HBT  Can</t>
  </si>
  <si>
    <t xml:space="preserve">Lagering</t>
  </si>
  <si>
    <t xml:space="preserve">O.G. GLT</t>
  </si>
  <si>
    <t xml:space="preserve">O2</t>
  </si>
  <si>
    <t xml:space="preserve">CO2</t>
  </si>
  <si>
    <t xml:space="preserve">Start date lagering</t>
  </si>
  <si>
    <t xml:space="preserve">Measurement after pushing over:</t>
  </si>
  <si>
    <t xml:space="preserve">Days on lagering</t>
  </si>
  <si>
    <t xml:space="preserve">Name operator start</t>
  </si>
  <si>
    <t xml:space="preserve">Start of processing:</t>
  </si>
  <si>
    <t xml:space="preserve">Name operator end</t>
  </si>
  <si>
    <t xml:space="preserve">End of processing:</t>
  </si>
  <si>
    <t xml:space="preserve">Attention: put Alcohol as vol% (=ABV%)</t>
  </si>
  <si>
    <t xml:space="preserve">Date of processing</t>
  </si>
  <si>
    <t xml:space="preserve">Duration of processing:</t>
  </si>
  <si>
    <t xml:space="preserve">Volume Mooie Nel</t>
  </si>
  <si>
    <t xml:space="preserve">--&gt;</t>
  </si>
  <si>
    <t xml:space="preserve">Alcohol Mooie Nel - batch</t>
  </si>
  <si>
    <t xml:space="preserve">%ABV</t>
  </si>
  <si>
    <t xml:space="preserve">Processed from (G)LT:</t>
  </si>
  <si>
    <t xml:space="preserve">Standpijp</t>
  </si>
  <si>
    <t xml:space="preserve">General info</t>
  </si>
  <si>
    <t xml:space="preserve">Gewenste alcohol Super Dupa --&gt;</t>
  </si>
  <si>
    <t xml:space="preserve">Volume after dilution</t>
  </si>
  <si>
    <t xml:space="preserve">Values in (G)LT before start</t>
  </si>
  <si>
    <t xml:space="preserve">Losses</t>
  </si>
  <si>
    <t xml:space="preserve">frequency</t>
  </si>
  <si>
    <t xml:space="preserve">Minutes</t>
  </si>
  <si>
    <t xml:space="preserve"> to be added amount of water</t>
  </si>
  <si>
    <t xml:space="preserve">Centrifuge start out</t>
  </si>
  <si>
    <t xml:space="preserve">Flow [hl/u]</t>
  </si>
  <si>
    <t xml:space="preserve">HL processed [hl]</t>
  </si>
  <si>
    <t xml:space="preserve">Turbidity [EBC]</t>
  </si>
  <si>
    <t xml:space="preserve">Bypass [%]</t>
  </si>
  <si>
    <t xml:space="preserve">Made from batch Mooie Nel</t>
  </si>
  <si>
    <t xml:space="preserve">Effective pushed-over volume</t>
  </si>
  <si>
    <t xml:space="preserve">Effective water added</t>
  </si>
  <si>
    <t xml:space="preserve">Pasteurised with</t>
  </si>
  <si>
    <t xml:space="preserve">Avg. Temp out</t>
  </si>
  <si>
    <t xml:space="preserve">Avg. Turbidity</t>
  </si>
  <si>
    <t xml:space="preserve">fill in all yellow cells</t>
  </si>
  <si>
    <t xml:space="preserve">Time [hh:mm]</t>
  </si>
  <si>
    <t xml:space="preserve">Comments processing</t>
  </si>
  <si>
    <t xml:space="preserve">Comments tasting</t>
  </si>
  <si>
    <t xml:space="preserve">Go or
Not Go?</t>
  </si>
  <si>
    <t xml:space="preserve">Bright beer tanks (HBT):</t>
  </si>
  <si>
    <t xml:space="preserve">Comments</t>
  </si>
  <si>
    <t xml:space="preserve">fill in yellow cells only</t>
  </si>
  <si>
    <t xml:space="preserve">HBT</t>
  </si>
  <si>
    <t xml:space="preserve">HL</t>
  </si>
  <si>
    <t xml:space="preserve">Can</t>
  </si>
  <si>
    <t xml:space="preserve">NAGARDO ADD calculator #1</t>
  </si>
  <si>
    <t xml:space="preserve">Bottle</t>
  </si>
  <si>
    <t xml:space="preserve">Volume to process in HBT</t>
  </si>
  <si>
    <t xml:space="preserve">KEG</t>
  </si>
  <si>
    <t xml:space="preserve">Dosing  (from recept-voorblad)</t>
  </si>
  <si>
    <t xml:space="preserve">Fill in</t>
  </si>
  <si>
    <t xml:space="preserve">Calculation correct?</t>
  </si>
  <si>
    <t xml:space="preserve">initials</t>
  </si>
  <si>
    <t xml:space="preserve">Yes/No</t>
  </si>
  <si>
    <t xml:space="preserve">Operator #1</t>
  </si>
  <si>
    <t xml:space="preserve">No</t>
  </si>
  <si>
    <t xml:space="preserve">Operator #2</t>
  </si>
  <si>
    <t xml:space="preserve">Laboratory</t>
  </si>
  <si>
    <t xml:space="preserve">NAGARDO ADD calculator #2</t>
  </si>
  <si>
    <t xml:space="preserve">Total measured volumes </t>
  </si>
  <si>
    <t xml:space="preserve">End value HBT:</t>
  </si>
  <si>
    <t xml:space="preserve">GLT empty? </t>
  </si>
  <si>
    <t xml:space="preserve">no</t>
  </si>
  <si>
    <t xml:space="preserve">Total end volume</t>
  </si>
  <si>
    <t xml:space="preserve">  </t>
  </si>
  <si>
    <t xml:space="preserve">Afvullen</t>
  </si>
  <si>
    <t xml:space="preserve">Afvullingen</t>
  </si>
  <si>
    <t xml:space="preserve">Productie opdracht specificaties</t>
  </si>
  <si>
    <t xml:space="preserve">controleur</t>
  </si>
  <si>
    <t xml:space="preserve">EAN doos fles 24x33cl:</t>
  </si>
  <si>
    <t xml:space="preserve">EAN doos fles 12x33cl:</t>
  </si>
  <si>
    <t xml:space="preserve">HBT nr</t>
  </si>
  <si>
    <t xml:space="preserve">EAN doos blik 24x33cl:</t>
  </si>
  <si>
    <t xml:space="preserve">EAN doos blik 12x33cl:</t>
  </si>
  <si>
    <t xml:space="preserve">Start Afvul</t>
  </si>
  <si>
    <t xml:space="preserve">Codering fles:</t>
  </si>
  <si>
    <t xml:space="preserve">Codering blik:</t>
  </si>
  <si>
    <t xml:space="preserve">Einde Afvul</t>
  </si>
  <si>
    <t xml:space="preserve">Codering vat:</t>
  </si>
  <si>
    <t xml:space="preserve">Dag nummer</t>
  </si>
  <si>
    <t xml:space="preserve">Afgevuld door:</t>
  </si>
  <si>
    <t xml:space="preserve">Productie opdracht</t>
  </si>
  <si>
    <t xml:space="preserve"> </t>
  </si>
  <si>
    <t xml:space="preserve">Fles Afvul 1,</t>
  </si>
  <si>
    <t xml:space="preserve">Flessoort:</t>
  </si>
  <si>
    <t xml:space="preserve">Doossoort:</t>
  </si>
  <si>
    <t xml:space="preserve">Monstername door:</t>
  </si>
  <si>
    <t xml:space="preserve">Etiketten:</t>
  </si>
  <si>
    <t xml:space="preserve">Codering doos:</t>
  </si>
  <si>
    <t xml:space="preserve">Controle 1e verpakking (twee operators):</t>
  </si>
  <si>
    <t xml:space="preserve">Ean code doos:</t>
  </si>
  <si>
    <t xml:space="preserve">Vulpijp-detectiecontrole 1e verpakking:</t>
  </si>
  <si>
    <t xml:space="preserve">Kroonkurk:</t>
  </si>
  <si>
    <t xml:space="preserve">Logo doos:</t>
  </si>
  <si>
    <t xml:space="preserve">Vulpijp-detectiecontrole einde batch:</t>
  </si>
  <si>
    <t xml:space="preserve">Fles Afvul 2,</t>
  </si>
  <si>
    <t xml:space="preserve">Klapflessen</t>
  </si>
  <si>
    <t xml:space="preserve">Klapfles beheerst?</t>
  </si>
  <si>
    <t xml:space="preserve">Y/N</t>
  </si>
  <si>
    <t xml:space="preserve">[unit]</t>
  </si>
  <si>
    <t xml:space="preserve">waarde</t>
  </si>
  <si>
    <t xml:space="preserve">pack type</t>
  </si>
  <si>
    <t xml:space="preserve">can 330ml</t>
  </si>
  <si>
    <t xml:space="preserve">time</t>
  </si>
  <si>
    <t xml:space="preserve">weigh MT</t>
  </si>
  <si>
    <t xml:space="preserve">Fles Afvul 3,</t>
  </si>
  <si>
    <t xml:space="preserve">TPO Fles / Can 1</t>
  </si>
  <si>
    <t xml:space="preserve">[ppb]</t>
  </si>
  <si>
    <t xml:space="preserve">contents 1</t>
  </si>
  <si>
    <t xml:space="preserve">HSO Fles / Can 1</t>
  </si>
  <si>
    <t xml:space="preserve">contents 2</t>
  </si>
  <si>
    <t xml:space="preserve">DO Fles / Can 1</t>
  </si>
  <si>
    <t xml:space="preserve">contents 3</t>
  </si>
  <si>
    <t xml:space="preserve">HS vol.</t>
  </si>
  <si>
    <t xml:space="preserve">contents 4</t>
  </si>
  <si>
    <t xml:space="preserve">Druk</t>
  </si>
  <si>
    <t xml:space="preserve">contents 5</t>
  </si>
  <si>
    <t xml:space="preserve">Blik Afvul 1,</t>
  </si>
  <si>
    <t xml:space="preserve">Temp(00C)</t>
  </si>
  <si>
    <t xml:space="preserve">contents 6</t>
  </si>
  <si>
    <t xml:space="preserve">bliksoort:</t>
  </si>
  <si>
    <t xml:space="preserve">CO2 Fles / Can 1 (200C)</t>
  </si>
  <si>
    <t xml:space="preserve">[g/l]</t>
  </si>
  <si>
    <t xml:space="preserve">contents 7</t>
  </si>
  <si>
    <t xml:space="preserve">CO2 Fust 1</t>
  </si>
  <si>
    <t xml:space="preserve">contents 8</t>
  </si>
  <si>
    <t xml:space="preserve">Zuurstof Fust 1</t>
  </si>
  <si>
    <t xml:space="preserve">contents 9</t>
  </si>
  <si>
    <t xml:space="preserve">deksel:</t>
  </si>
  <si>
    <t xml:space="preserve">contents 10</t>
  </si>
  <si>
    <t xml:space="preserve">Blik Afvul 2,</t>
  </si>
  <si>
    <t xml:space="preserve">TPO Fles / Can 2</t>
  </si>
  <si>
    <t xml:space="preserve">contents 11</t>
  </si>
  <si>
    <t xml:space="preserve">HSO Fles / Can 2</t>
  </si>
  <si>
    <t xml:space="preserve">contents 12</t>
  </si>
  <si>
    <t xml:space="preserve">DO Fles / Can 2</t>
  </si>
  <si>
    <t xml:space="preserve">contents 13</t>
  </si>
  <si>
    <t xml:space="preserve">contents 14</t>
  </si>
  <si>
    <t xml:space="preserve">contents 15</t>
  </si>
  <si>
    <t xml:space="preserve">Fust Afvul 1,</t>
  </si>
  <si>
    <t xml:space="preserve">contents 16</t>
  </si>
  <si>
    <t xml:space="preserve">Fustmaat:</t>
  </si>
  <si>
    <t xml:space="preserve">Logo:</t>
  </si>
  <si>
    <t xml:space="preserve">CO2 Fles / Can 2 (200C)</t>
  </si>
  <si>
    <t xml:space="preserve">contents 17</t>
  </si>
  <si>
    <t xml:space="preserve">Ean code:</t>
  </si>
  <si>
    <t xml:space="preserve">CO2 Fust 2</t>
  </si>
  <si>
    <t xml:space="preserve">contents 18</t>
  </si>
  <si>
    <t xml:space="preserve">Fust Afvul 2,</t>
  </si>
  <si>
    <t xml:space="preserve">Zuurstof Fust 2</t>
  </si>
  <si>
    <t xml:space="preserve">contents 19</t>
  </si>
  <si>
    <t xml:space="preserve">contents 20</t>
  </si>
  <si>
    <t xml:space="preserve">TPO Fles / Can 3</t>
  </si>
  <si>
    <t xml:space="preserve">HSO Fles / Can 3</t>
  </si>
  <si>
    <t xml:space="preserve">Average (ml)</t>
  </si>
  <si>
    <t xml:space="preserve">Opmerkingen productie opdracht:</t>
  </si>
  <si>
    <t xml:space="preserve">DO Fles / Can 3</t>
  </si>
  <si>
    <t xml:space="preserve">T1 (g)</t>
  </si>
  <si>
    <t xml:space="preserve">T2</t>
  </si>
  <si>
    <t xml:space="preserve">TNE</t>
  </si>
  <si>
    <t xml:space="preserve">CO2 Fles / Can 3 (200C)</t>
  </si>
  <si>
    <t xml:space="preserve">density</t>
  </si>
  <si>
    <t xml:space="preserve"> g/ml</t>
  </si>
  <si>
    <t xml:space="preserve">OEE</t>
  </si>
  <si>
    <t xml:space="preserve">beschibaarheid</t>
  </si>
  <si>
    <t xml:space="preserve">prestatie</t>
  </si>
  <si>
    <t xml:space="preserve">kwaliteit</t>
  </si>
  <si>
    <t xml:space="preserve">CO2 Fust 3</t>
  </si>
  <si>
    <t xml:space="preserve">can 275ml</t>
  </si>
  <si>
    <t xml:space="preserve">fles</t>
  </si>
  <si>
    <t xml:space="preserve">Zuurstof Fust 3</t>
  </si>
  <si>
    <t xml:space="preserve">can</t>
  </si>
  <si>
    <t xml:space="preserve">can 440ml</t>
  </si>
  <si>
    <t xml:space="preserve">vat</t>
  </si>
  <si>
    <t xml:space="preserve">TPO Fles / Can 4</t>
  </si>
  <si>
    <t xml:space="preserve">bottle 330ml</t>
  </si>
  <si>
    <t xml:space="preserve">HSO Fles / Can 4</t>
  </si>
  <si>
    <t xml:space="preserve">bottle 750ml</t>
  </si>
  <si>
    <t xml:space="preserve">DO Fles / Can 4</t>
  </si>
  <si>
    <t xml:space="preserve">Verbruiken</t>
  </si>
  <si>
    <t xml:space="preserve">leeg goed</t>
  </si>
  <si>
    <t xml:space="preserve">underfills</t>
  </si>
  <si>
    <t xml:space="preserve">ongelabelled</t>
  </si>
  <si>
    <t xml:space="preserve">verlies</t>
  </si>
  <si>
    <t xml:space="preserve">CO2 Fles / Can 4 (200C)</t>
  </si>
  <si>
    <t xml:space="preserve">CO2 Fust 4</t>
  </si>
  <si>
    <t xml:space="preserve">Zuurstof Fust 4</t>
  </si>
  <si>
    <t xml:space="preserve">Quality</t>
  </si>
  <si>
    <t xml:space="preserve">%Estimate of control</t>
  </si>
  <si>
    <t xml:space="preserve">average</t>
  </si>
  <si>
    <t xml:space="preserve">cp</t>
  </si>
  <si>
    <t xml:space="preserve">std</t>
  </si>
  <si>
    <t xml:space="preserve">CO2 fles/can</t>
  </si>
  <si>
    <t xml:space="preserve">TPO Fles / Can 5</t>
  </si>
  <si>
    <t xml:space="preserve">HSO fles/can</t>
  </si>
  <si>
    <t xml:space="preserve">HSO Fles / Can 5</t>
  </si>
  <si>
    <t xml:space="preserve">DO fles/can</t>
  </si>
  <si>
    <t xml:space="preserve">DO Fles / Can 5</t>
  </si>
  <si>
    <t xml:space="preserve">TPO fles/can</t>
  </si>
  <si>
    <t xml:space="preserve">DO fust</t>
  </si>
  <si>
    <t xml:space="preserve">CO2 Fles / Can 5 (200C)</t>
  </si>
  <si>
    <t xml:space="preserve">CO2 Fust 5</t>
  </si>
  <si>
    <t xml:space="preserve">Zuurstof Fust 5</t>
  </si>
  <si>
    <t xml:space="preserve">TPO Fles / Can 6</t>
  </si>
  <si>
    <t xml:space="preserve">HSO Fles / Can 6</t>
  </si>
  <si>
    <t xml:space="preserve">DO Fles / Can 6</t>
  </si>
  <si>
    <t xml:space="preserve">CO2 Fles / Can 6 (200C)</t>
  </si>
  <si>
    <t xml:space="preserve">CO2 Fust 6</t>
  </si>
  <si>
    <t xml:space="preserve">Zuurstof Fust 6</t>
  </si>
  <si>
    <t xml:space="preserve">TPO Fles / Can 7</t>
  </si>
  <si>
    <t xml:space="preserve">HSO Fles / Can 7</t>
  </si>
  <si>
    <t xml:space="preserve">DO Fles / Can 7</t>
  </si>
  <si>
    <t xml:space="preserve">CO2 Fles / Can 7 (200C)</t>
  </si>
  <si>
    <t xml:space="preserve">CO2 Fust 7</t>
  </si>
  <si>
    <t xml:space="preserve">Zuurstof Fust 7</t>
  </si>
  <si>
    <t xml:space="preserve">Afvulverslag</t>
  </si>
  <si>
    <t xml:space="preserve">TOTALEN</t>
  </si>
  <si>
    <t xml:space="preserve">Naam Bier </t>
  </si>
  <si>
    <t xml:space="preserve">Batch </t>
  </si>
  <si>
    <t xml:space="preserve">Totaal HL's van Verwer- king (Liters)</t>
  </si>
  <si>
    <t xml:space="preserve">Totaal Afgevuld</t>
  </si>
  <si>
    <t xml:space="preserve">Nog te doen / restant / verlies</t>
  </si>
  <si>
    <t xml:space="preserve">Opmerkingen bij afvullen</t>
  </si>
  <si>
    <t xml:space="preserve">(liters)</t>
  </si>
  <si>
    <t xml:space="preserve">Totaal Liters Fles</t>
  </si>
  <si>
    <t xml:space="preserve">Totaal Liters Blik</t>
  </si>
  <si>
    <t xml:space="preserve">Volume (HL)</t>
  </si>
  <si>
    <t xml:space="preserve">Totaal Liters Fust</t>
  </si>
  <si>
    <t xml:space="preserve">Totaal samengevoegd</t>
  </si>
  <si>
    <t xml:space="preserve">Ingevuld door</t>
  </si>
  <si>
    <t xml:space="preserve">Naam</t>
  </si>
  <si>
    <t xml:space="preserve">OPBOEKEN (+)</t>
  </si>
  <si>
    <t xml:space="preserve">AFVUL FLESSEN</t>
  </si>
  <si>
    <t xml:space="preserve">EAN</t>
  </si>
  <si>
    <t xml:space="preserve">Aantallen</t>
  </si>
  <si>
    <t xml:space="preserve">LITERS</t>
  </si>
  <si>
    <t xml:space="preserve">Doos 24x33cl</t>
  </si>
  <si>
    <t xml:space="preserve">Doos 24x33cl - BLANCO</t>
  </si>
  <si>
    <t xml:space="preserve">Doos 12x33cl</t>
  </si>
  <si>
    <t xml:space="preserve">Doos 12x33cl - BLANCO</t>
  </si>
  <si>
    <t xml:space="preserve">Doos 6x75cl</t>
  </si>
  <si>
    <t xml:space="preserve">Doos 6x75cl - BLANCO</t>
  </si>
  <si>
    <t xml:space="preserve">Krat 12x75cl - BLANCO</t>
  </si>
  <si>
    <t xml:space="preserve">AFVUL BLIKKEN</t>
  </si>
  <si>
    <t xml:space="preserve">Doos 12x33cl Blik</t>
  </si>
  <si>
    <t xml:space="preserve">Doos 24x33cl Blik</t>
  </si>
  <si>
    <t xml:space="preserve">Doos 12x44cl Blik</t>
  </si>
  <si>
    <t xml:space="preserve">Doos 24x44cl Blik</t>
  </si>
  <si>
    <t xml:space="preserve">AFVUL FUSTEN &amp; KEYKEGS</t>
  </si>
  <si>
    <t xml:space="preserve">20L KeyKeg</t>
  </si>
  <si>
    <t xml:space="preserve">20L Jopen/KU Fust</t>
  </si>
  <si>
    <t xml:space="preserve">30L Jopen Fust</t>
  </si>
  <si>
    <t xml:space="preserve">50L Jopen Fust</t>
  </si>
  <si>
    <t xml:space="preserve">20L Gbr, Door Vrouwen fust</t>
  </si>
  <si>
    <t xml:space="preserve">20L Global Keg (S)</t>
  </si>
  <si>
    <t xml:space="preserve">20L Global Keg</t>
  </si>
  <si>
    <t xml:space="preserve">30L KeyKeg</t>
  </si>
  <si>
    <t xml:space="preserve">GEBRUIKT TBV SAMENVOEGEN / BARREL AGING</t>
  </si>
  <si>
    <t xml:space="preserve">Liters</t>
  </si>
  <si>
    <t xml:space="preserve">TOTALEN Liters</t>
  </si>
  <si>
    <t xml:space="preserve">TBV BATCH …,</t>
  </si>
  <si>
    <t xml:space="preserve">TBV BARREL AGING BATCH…</t>
  </si>
  <si>
    <t xml:space="preserve">VERBRUIKEN :</t>
  </si>
  <si>
    <t xml:space="preserve">UITSCHRIJVEN (-)</t>
  </si>
  <si>
    <t xml:space="preserve">VERBRUIKEN FLES</t>
  </si>
  <si>
    <t xml:space="preserve">Aantal</t>
  </si>
  <si>
    <t xml:space="preserve">VERLIES</t>
  </si>
  <si>
    <t xml:space="preserve">Fles 33cl</t>
  </si>
  <si>
    <t xml:space="preserve">Stickerlabel 33cl - Main</t>
  </si>
  <si>
    <t xml:space="preserve">Stickerlabel 33cl - Neck</t>
  </si>
  <si>
    <t xml:space="preserve">Omdozen 24x33cl - Bedrukt:</t>
  </si>
  <si>
    <t xml:space="preserve">Omdozen 24x33cl - Blanco</t>
  </si>
  <si>
    <t xml:space="preserve">Omdozen 12x33cl - Bedrukt:</t>
  </si>
  <si>
    <t xml:space="preserve">Omdozen 12x33cl - Blanco</t>
  </si>
  <si>
    <t xml:space="preserve">Doos á</t>
  </si>
  <si>
    <t xml:space="preserve">Inhoud doos kan variëren!</t>
  </si>
  <si>
    <t xml:space="preserve">Fles 75cl</t>
  </si>
  <si>
    <t xml:space="preserve">Stickerlabel 75cl - Main</t>
  </si>
  <si>
    <t xml:space="preserve">Stickerlabel 75cl - Neck</t>
  </si>
  <si>
    <t xml:space="preserve">Omdozen 6x75cl - Bedrukt:</t>
  </si>
  <si>
    <t xml:space="preserve">Omdozen 6x75cl - Blanco</t>
  </si>
  <si>
    <t xml:space="preserve">Kurk:</t>
  </si>
  <si>
    <t xml:space="preserve">Musseletten:</t>
  </si>
  <si>
    <t xml:space="preserve">VERBRUIKEN BLIK-artikelen</t>
  </si>
  <si>
    <t xml:space="preserve">Blik 33cl</t>
  </si>
  <si>
    <t xml:space="preserve">Blik 44cl</t>
  </si>
  <si>
    <t xml:space="preserve">Blik Deksel</t>
  </si>
  <si>
    <t xml:space="preserve">Stickerlabel 33cl blik</t>
  </si>
  <si>
    <t xml:space="preserve">Stickerlabel 44cl blik</t>
  </si>
  <si>
    <t xml:space="preserve">Omdozen 12x33cl blik - Blanco</t>
  </si>
  <si>
    <t xml:space="preserve">Omdozen 24x33cl blik - Blanco</t>
  </si>
  <si>
    <t xml:space="preserve">Omdozen 12x44cl blik - Blanco</t>
  </si>
  <si>
    <t xml:space="preserve">Omdozen 24x44cl blik - Blanco</t>
  </si>
  <si>
    <t xml:space="preserve">VERBRUIKEN FUST-artikelen</t>
  </si>
  <si>
    <t xml:space="preserve">Global Keg 20L: </t>
  </si>
  <si>
    <t xml:space="preserve">Jopen Fust 20L: </t>
  </si>
  <si>
    <t xml:space="preserve">Jopen Fust 30L: </t>
  </si>
  <si>
    <t xml:space="preserve">Jopen Fust 50L: </t>
  </si>
  <si>
    <t xml:space="preserve">Fustdop: </t>
  </si>
  <si>
    <t xml:space="preserve">KeyKegFustdop:</t>
  </si>
  <si>
    <t xml:space="preserve">KeyKeg 20L - Leeg</t>
  </si>
  <si>
    <t xml:space="preserve">KeyKeg 30L - Leeg</t>
  </si>
  <si>
    <t xml:space="preserve">Ingevoerd in Mdrank</t>
  </si>
  <si>
    <t xml:space="preserve">door:</t>
  </si>
  <si>
    <t xml:space="preserve">datum:</t>
  </si>
  <si>
    <t xml:space="preserve">V2,1 : 09-10-17 KYT</t>
  </si>
  <si>
    <t xml:space="preserve">V2,001 : 02/10/2017 KYT, invoeg MR-Opdracht</t>
  </si>
  <si>
    <t xml:space="preserve">V2,002 : 22/11/2018 KYT: nav MvdG&amp;JL</t>
  </si>
  <si>
    <t xml:space="preserve">v3 6/2/24 TW</t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</si>
</sst>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0%"/>
    <numFmt numFmtId="166" formatCode="[$-413]General"/>
    <numFmt numFmtId="167" formatCode="_ &quot;€ &quot;* #,##0.00_ ;_ &quot;€ &quot;* \-#,##0.00_ ;_ &quot;€ &quot;* \-??_ ;_ @_ "/>
    <numFmt numFmtId="168" formatCode="m/d/yyyy"/>
    <numFmt numFmtId="169" formatCode="0.0"/>
    <numFmt numFmtId="170" formatCode="0"/>
    <numFmt numFmtId="171" formatCode="0.00"/>
    <numFmt numFmtId="172" formatCode="[$-413]0"/>
    <numFmt numFmtId="173" formatCode="_ [$€-413]\ * #,##0.00_ ;_ [$€-413]\ * \-#,##0.00_ ;_ [$€-413]\ * \-??_ ;_ @_ "/>
    <numFmt numFmtId="174" formatCode="[$-413]0.00"/>
    <numFmt numFmtId="175" formatCode="General"/>
    <numFmt numFmtId="176" formatCode="d/mm/yy;@"/>
    <numFmt numFmtId="177" formatCode="d/mm/yy\ h:mm;@"/>
    <numFmt numFmtId="178" formatCode="h:mm"/>
    <numFmt numFmtId="179" formatCode="0.00%"/>
    <numFmt numFmtId="180" formatCode="d\-mmm\-yy"/>
    <numFmt numFmtId="181" formatCode="d\-mmm"/>
    <numFmt numFmtId="182" formatCode="@"/>
    <numFmt numFmtId="183" formatCode="h:mm;@"/>
    <numFmt numFmtId="184" formatCode="0.0%"/>
    <numFmt numFmtId="185" formatCode="0.0000"/>
  </numFmts>
  <fonts count="74">
    <font>
      <sz val="11"/>
      <color theme="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1"/>
      <color theme="1"/>
      <name val="Arial"/>
      <family val="2"/>
      <charset val="1"/>
    </font>
    <font>
      <sz val="10"/>
      <name val="Arial"/>
      <family val="2"/>
      <charset val="1"/>
    </font>
    <font>
      <sz val="12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20"/>
      <color theme="0"/>
      <name val="Calibri"/>
      <family val="2"/>
      <charset val="1"/>
    </font>
    <font>
      <sz val="14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8.5"/>
      <color theme="1"/>
      <name val="Calibri"/>
      <family val="2"/>
      <charset val="1"/>
    </font>
    <font>
      <sz val="10"/>
      <name val="Calibri"/>
      <family val="2"/>
      <charset val="1"/>
    </font>
    <font>
      <b val="true"/>
      <sz val="10"/>
      <color theme="0"/>
      <name val="Calibri"/>
      <family val="2"/>
      <charset val="1"/>
    </font>
    <font>
      <sz val="10"/>
      <color rgb="FFFF000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u val="single"/>
      <sz val="16"/>
      <color theme="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strike val="true"/>
      <sz val="11"/>
      <color rgb="FFFF0000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sz val="11"/>
      <name val="Calibri"/>
      <family val="2"/>
      <charset val="1"/>
    </font>
    <font>
      <sz val="12"/>
      <color rgb="FFFF0000"/>
      <name val="Calibri"/>
      <family val="2"/>
      <charset val="1"/>
    </font>
    <font>
      <sz val="10"/>
      <color rgb="FF000000"/>
      <name val="Calibri"/>
      <family val="2"/>
      <charset val="1"/>
    </font>
    <font>
      <sz val="8"/>
      <color rgb="FFFF0000"/>
      <name val="Calibri"/>
      <family val="2"/>
      <charset val="1"/>
    </font>
    <font>
      <sz val="9"/>
      <color theme="1"/>
      <name val="Calibri"/>
      <family val="2"/>
      <charset val="1"/>
    </font>
    <font>
      <sz val="8"/>
      <name val="Calibri"/>
      <family val="2"/>
      <charset val="1"/>
    </font>
    <font>
      <sz val="12"/>
      <name val="Calibri"/>
      <family val="2"/>
      <charset val="1"/>
    </font>
    <font>
      <sz val="14"/>
      <name val="Calibri"/>
      <family val="2"/>
      <charset val="1"/>
    </font>
    <font>
      <sz val="10"/>
      <color theme="0"/>
      <name val="Arial"/>
      <family val="2"/>
      <charset val="1"/>
    </font>
    <font>
      <sz val="11"/>
      <color rgb="FFFF0000"/>
      <name val="Arial"/>
      <family val="2"/>
      <charset val="1"/>
    </font>
    <font>
      <sz val="10"/>
      <color rgb="FFFF0000"/>
      <name val="Arial"/>
      <family val="2"/>
      <charset val="1"/>
    </font>
    <font>
      <sz val="11"/>
      <color rgb="FFFFFFFF"/>
      <name val="Calibri"/>
      <family val="2"/>
      <charset val="1"/>
    </font>
    <font>
      <b val="true"/>
      <sz val="14"/>
      <color theme="0"/>
      <name val="Calibri"/>
      <family val="2"/>
      <charset val="1"/>
    </font>
    <font>
      <b val="true"/>
      <u val="single"/>
      <sz val="18"/>
      <color theme="0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7"/>
      <color theme="0"/>
      <name val="Consolas"/>
      <family val="3"/>
      <charset val="1"/>
    </font>
    <font>
      <sz val="10"/>
      <color rgb="FF00B050"/>
      <name val="Calibri"/>
      <family val="2"/>
      <charset val="1"/>
    </font>
    <font>
      <sz val="11"/>
      <color theme="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b val="true"/>
      <sz val="11"/>
      <color theme="0"/>
      <name val="Calibri"/>
      <family val="2"/>
      <charset val="1"/>
    </font>
    <font>
      <sz val="10"/>
      <color theme="1"/>
      <name val="Arial"/>
      <family val="2"/>
      <charset val="1"/>
    </font>
    <font>
      <b val="true"/>
      <sz val="10"/>
      <name val="Arial"/>
      <family val="2"/>
      <charset val="1"/>
    </font>
    <font>
      <sz val="12"/>
      <name val="Arial"/>
      <family val="2"/>
      <charset val="1"/>
    </font>
    <font>
      <sz val="9"/>
      <name val="Arial"/>
      <family val="2"/>
      <charset val="1"/>
    </font>
    <font>
      <sz val="10"/>
      <color rgb="FF000080"/>
      <name val="Arial"/>
      <family val="2"/>
      <charset val="1"/>
    </font>
    <font>
      <b val="true"/>
      <sz val="9"/>
      <name val="Arial"/>
      <family val="2"/>
      <charset val="1"/>
    </font>
    <font>
      <b val="true"/>
      <sz val="8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3F3F76"/>
      <name val="Calibri"/>
      <family val="2"/>
      <charset val="1"/>
    </font>
    <font>
      <b val="true"/>
      <sz val="11"/>
      <color rgb="FFFA7D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1"/>
      <color rgb="FFD9D9D9"/>
      <name val="Calibri"/>
      <family val="2"/>
      <charset val="1"/>
    </font>
    <font>
      <b val="true"/>
      <sz val="11"/>
      <color theme="0" tint="-0.15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rgb="FFFFFF00"/>
      <name val="Calibri"/>
      <family val="2"/>
      <charset val="1"/>
    </font>
    <font>
      <sz val="11"/>
      <color theme="3"/>
      <name val="Calibri"/>
      <family val="2"/>
      <charset val="1"/>
    </font>
    <font>
      <b val="true"/>
      <u val="single"/>
      <sz val="20"/>
      <color theme="0"/>
      <name val="Calibri"/>
      <family val="2"/>
      <charset val="1"/>
    </font>
    <font>
      <sz val="11"/>
      <name val="Aptos Narrow"/>
      <family val="2"/>
      <charset val="1"/>
    </font>
    <font>
      <sz val="11"/>
      <color theme="0"/>
      <name val="Aptos Narrow"/>
      <family val="2"/>
      <charset val="1"/>
    </font>
    <font>
      <b val="true"/>
      <sz val="18"/>
      <color theme="1"/>
      <name val="Calibri"/>
      <family val="2"/>
      <charset val="1"/>
    </font>
    <font>
      <b val="true"/>
      <u val="single"/>
      <sz val="18"/>
      <color theme="1"/>
      <name val="Calibri"/>
      <family val="2"/>
      <charset val="1"/>
    </font>
    <font>
      <sz val="11"/>
      <color theme="0" tint="-0.15"/>
      <name val="Calibri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rgb="FFC0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theme="6" tint="0.3999"/>
        <bgColor rgb="FFBFBFBF"/>
      </patternFill>
    </fill>
    <fill>
      <patternFill patternType="solid">
        <fgColor theme="7" tint="0.7999"/>
        <bgColor rgb="FFFFFFCC"/>
      </patternFill>
    </fill>
    <fill>
      <patternFill patternType="solid">
        <fgColor rgb="FFFFFF00"/>
        <bgColor rgb="FFFFC000"/>
      </patternFill>
    </fill>
    <fill>
      <patternFill patternType="solid">
        <fgColor rgb="FF002060"/>
        <bgColor rgb="FF000080"/>
      </patternFill>
    </fill>
    <fill>
      <patternFill patternType="solid">
        <fgColor theme="4" tint="0.5999"/>
        <bgColor rgb="FFC9C9C9"/>
      </patternFill>
    </fill>
    <fill>
      <patternFill patternType="solid">
        <fgColor rgb="FFF2F2F2"/>
        <bgColor rgb="FFFFFFFF"/>
      </patternFill>
    </fill>
    <fill>
      <patternFill patternType="solid">
        <fgColor rgb="FFFFFFCC"/>
        <bgColor rgb="FFFFF2CC"/>
      </patternFill>
    </fill>
    <fill>
      <patternFill patternType="solid">
        <fgColor rgb="FFBFBFBF"/>
        <bgColor rgb="FFC9C9C9"/>
      </patternFill>
    </fill>
    <fill>
      <patternFill patternType="solid">
        <fgColor rgb="FFD9D9D9"/>
        <bgColor rgb="FFC9C9C9"/>
      </patternFill>
    </fill>
    <fill>
      <patternFill patternType="solid">
        <fgColor rgb="FFFFCC99"/>
        <bgColor rgb="FFF4B183"/>
      </patternFill>
    </fill>
    <fill>
      <patternFill patternType="solid">
        <fgColor rgb="FFA5A5A5"/>
        <bgColor rgb="FFBFBFBF"/>
      </patternFill>
    </fill>
    <fill>
      <patternFill patternType="solid">
        <fgColor theme="3"/>
        <bgColor rgb="FF003300"/>
      </patternFill>
    </fill>
    <fill>
      <patternFill patternType="solid">
        <fgColor theme="7"/>
        <bgColor rgb="FFFF9900"/>
      </patternFill>
    </fill>
    <fill>
      <patternFill patternType="solid">
        <fgColor rgb="FF00B0F0"/>
        <bgColor rgb="FF008080"/>
      </patternFill>
    </fill>
    <fill>
      <patternFill patternType="solid">
        <fgColor rgb="FF6699FF"/>
        <bgColor rgb="FFA5A5A5"/>
      </patternFill>
    </fill>
  </fills>
  <borders count="15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/>
      <right style="thin"/>
      <top style="thin"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thin"/>
      <top/>
      <bottom style="hair"/>
      <diagonal/>
    </border>
    <border diagonalUp="false" diagonalDown="false">
      <left/>
      <right style="thin"/>
      <top style="hair"/>
      <bottom style="hair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/>
      <right/>
      <top style="hair"/>
      <bottom style="thin"/>
      <diagonal/>
    </border>
    <border diagonalUp="false" diagonalDown="false">
      <left/>
      <right style="thin"/>
      <top style="hair"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/>
      <right/>
      <top style="thin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/>
      <right style="dashed"/>
      <top style="dashed"/>
      <bottom style="dashed"/>
      <diagonal/>
    </border>
    <border diagonalUp="false" diagonalDown="false">
      <left style="dashed"/>
      <right/>
      <top style="dashed"/>
      <bottom style="dashed"/>
      <diagonal/>
    </border>
    <border diagonalUp="false" diagonalDown="false">
      <left style="thin"/>
      <right style="thin"/>
      <top/>
      <bottom style="dashed"/>
      <diagonal/>
    </border>
    <border diagonalUp="false" diagonalDown="false">
      <left style="thin"/>
      <right/>
      <top style="dashed"/>
      <bottom style="dashed"/>
      <diagonal/>
    </border>
    <border diagonalUp="false" diagonalDown="false">
      <left/>
      <right style="thin"/>
      <top style="dashed"/>
      <bottom style="dashed"/>
      <diagonal/>
    </border>
    <border diagonalUp="false" diagonalDown="false">
      <left/>
      <right/>
      <top style="dashed"/>
      <bottom style="dashed"/>
      <diagonal/>
    </border>
    <border diagonalUp="false" diagonalDown="false">
      <left style="thin"/>
      <right style="thin"/>
      <top style="dashed"/>
      <bottom style="dashed"/>
      <diagonal/>
    </border>
    <border diagonalUp="false" diagonalDown="false">
      <left style="thin"/>
      <right/>
      <top style="dashed"/>
      <bottom style="thin"/>
      <diagonal/>
    </border>
    <border diagonalUp="false" diagonalDown="false">
      <left/>
      <right style="thin"/>
      <top style="dashed"/>
      <bottom style="thin"/>
      <diagonal/>
    </border>
    <border diagonalUp="false" diagonalDown="false">
      <left style="thin"/>
      <right/>
      <top style="thin"/>
      <bottom style="dashed"/>
      <diagonal/>
    </border>
    <border diagonalUp="false" diagonalDown="false">
      <left/>
      <right style="thin"/>
      <top style="thin"/>
      <bottom style="dashed"/>
      <diagonal/>
    </border>
    <border diagonalUp="false" diagonalDown="false">
      <left/>
      <right style="thin"/>
      <top/>
      <bottom style="dashed"/>
      <diagonal/>
    </border>
    <border diagonalUp="false" diagonalDown="false">
      <left style="thin"/>
      <right/>
      <top style="dashed"/>
      <bottom/>
      <diagonal/>
    </border>
    <border diagonalUp="false" diagonalDown="false">
      <left style="thin"/>
      <right style="thin"/>
      <top style="thin"/>
      <bottom style="dashed"/>
      <diagonal/>
    </border>
    <border diagonalUp="false" diagonalDown="false">
      <left/>
      <right/>
      <top style="dashed"/>
      <bottom/>
      <diagonal/>
    </border>
    <border diagonalUp="false" diagonalDown="false">
      <left/>
      <right style="thin"/>
      <top style="dashed"/>
      <bottom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thin"/>
      <right style="hair"/>
      <top style="dashed"/>
      <bottom style="dashed"/>
      <diagonal/>
    </border>
    <border diagonalUp="false" diagonalDown="false">
      <left style="hair"/>
      <right style="thin"/>
      <top style="dashed"/>
      <bottom style="dashed"/>
      <diagonal/>
    </border>
    <border diagonalUp="false" diagonalDown="false">
      <left style="thin"/>
      <right/>
      <top/>
      <bottom style="dashed"/>
      <diagonal/>
    </border>
    <border diagonalUp="false" diagonalDown="false">
      <left/>
      <right/>
      <top/>
      <bottom style="dashed"/>
      <diagonal/>
    </border>
    <border diagonalUp="false" diagonalDown="false">
      <left style="thin"/>
      <right/>
      <top style="hair"/>
      <bottom/>
      <diagonal/>
    </border>
    <border diagonalUp="false" diagonalDown="false">
      <left/>
      <right style="thin"/>
      <top style="hair"/>
      <bottom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thin"/>
      <top style="dashed"/>
      <bottom/>
      <diagonal/>
    </border>
    <border diagonalUp="false" diagonalDown="false">
      <left style="thin"/>
      <right style="hair"/>
      <top style="hair"/>
      <bottom/>
      <diagonal/>
    </border>
    <border diagonalUp="false" diagonalDown="false">
      <left/>
      <right/>
      <top style="dashed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hair"/>
      <top style="medium"/>
      <bottom style="medium"/>
      <diagonal/>
    </border>
    <border diagonalUp="false" diagonalDown="false">
      <left style="hair"/>
      <right style="hair"/>
      <top style="medium"/>
      <bottom style="medium"/>
      <diagonal/>
    </border>
    <border diagonalUp="false" diagonalDown="false">
      <left style="hair"/>
      <right style="medium"/>
      <top style="medium"/>
      <bottom style="medium"/>
      <diagonal/>
    </border>
    <border diagonalUp="false" diagonalDown="false">
      <left style="dotted"/>
      <right style="medium"/>
      <top style="medium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dotted"/>
      <top style="medium"/>
      <bottom style="medium"/>
      <diagonal/>
    </border>
    <border diagonalUp="false" diagonalDown="false">
      <left style="dotted"/>
      <right style="dotted"/>
      <top style="medium"/>
      <bottom style="medium"/>
      <diagonal/>
    </border>
    <border diagonalUp="false" diagonalDown="false">
      <left/>
      <right style="dotted"/>
      <top style="medium"/>
      <bottom style="medium"/>
      <diagonal/>
    </border>
    <border diagonalUp="false" diagonalDown="false">
      <left style="dotted"/>
      <right style="dotted"/>
      <top style="medium"/>
      <bottom/>
      <diagonal/>
    </border>
    <border diagonalUp="false" diagonalDown="false">
      <left style="dotted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hair"/>
      <diagonal/>
    </border>
    <border diagonalUp="false" diagonalDown="false">
      <left style="medium"/>
      <right style="hair"/>
      <top style="medium"/>
      <bottom style="hair"/>
      <diagonal/>
    </border>
    <border diagonalUp="false" diagonalDown="false">
      <left style="hair"/>
      <right style="hair"/>
      <top style="medium"/>
      <bottom style="hair"/>
      <diagonal/>
    </border>
    <border diagonalUp="false" diagonalDown="false">
      <left style="hair"/>
      <right style="medium"/>
      <top style="medium"/>
      <bottom style="hair"/>
      <diagonal/>
    </border>
    <border diagonalUp="false" diagonalDown="false">
      <left style="medium"/>
      <right style="dotted"/>
      <top/>
      <bottom style="medium"/>
      <diagonal/>
    </border>
    <border diagonalUp="false" diagonalDown="false">
      <left style="medium"/>
      <right/>
      <top style="hair"/>
      <bottom style="hair"/>
      <diagonal/>
    </border>
    <border diagonalUp="false" diagonalDown="false">
      <left style="medium"/>
      <right style="hair"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medium"/>
      <top style="hair"/>
      <bottom style="hair"/>
      <diagonal/>
    </border>
    <border diagonalUp="false" diagonalDown="false">
      <left/>
      <right style="dotted"/>
      <top style="medium"/>
      <bottom style="dashed"/>
      <diagonal/>
    </border>
    <border diagonalUp="false" diagonalDown="false">
      <left style="dotted"/>
      <right style="dotted"/>
      <top style="medium"/>
      <bottom style="dashed"/>
      <diagonal/>
    </border>
    <border diagonalUp="false" diagonalDown="false">
      <left style="dotted"/>
      <right style="dotted"/>
      <top style="medium"/>
      <bottom style="hair"/>
      <diagonal/>
    </border>
    <border diagonalUp="false" diagonalDown="false">
      <left style="dotted"/>
      <right style="medium"/>
      <top style="medium"/>
      <bottom style="hair"/>
      <diagonal/>
    </border>
    <border diagonalUp="false" diagonalDown="false">
      <left/>
      <right style="dotted"/>
      <top/>
      <bottom style="dotted"/>
      <diagonal/>
    </border>
    <border diagonalUp="false" diagonalDown="false">
      <left style="dotted"/>
      <right style="dotted"/>
      <top/>
      <bottom style="dotted"/>
      <diagonal/>
    </border>
    <border diagonalUp="false" diagonalDown="false">
      <left style="dotted"/>
      <right style="dotted"/>
      <top style="hair"/>
      <bottom style="hair"/>
      <diagonal/>
    </border>
    <border diagonalUp="false" diagonalDown="false">
      <left style="dotted"/>
      <right style="medium"/>
      <top style="hair"/>
      <bottom style="hair"/>
      <diagonal/>
    </border>
    <border diagonalUp="false" diagonalDown="false">
      <left/>
      <right style="dotted"/>
      <top/>
      <bottom style="hair"/>
      <diagonal/>
    </border>
    <border diagonalUp="false" diagonalDown="false">
      <left style="dotted"/>
      <right style="dotted"/>
      <top/>
      <bottom style="hair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>
        <color rgb="FF7F7F7F"/>
      </right>
      <top style="medium"/>
      <bottom style="thin">
        <color rgb="FF7F7F7F"/>
      </bottom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thin">
        <color rgb="FF7F7F7F"/>
      </left>
      <right style="thin">
        <color rgb="FF7F7F7F"/>
      </right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medium"/>
      <diagonal/>
    </border>
    <border diagonalUp="false" diagonalDown="false">
      <left/>
      <right style="double">
        <color rgb="FF3F3F3F"/>
      </right>
      <top style="thin"/>
      <bottom style="medium"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medium"/>
      <right style="thin">
        <color rgb="FF3F3F3F"/>
      </right>
      <top style="medium"/>
      <bottom style="medium"/>
      <diagonal/>
    </border>
    <border diagonalUp="false" diagonalDown="false">
      <left/>
      <right style="thin">
        <color rgb="FF3F3F3F"/>
      </right>
      <top/>
      <bottom style="medium"/>
      <diagonal/>
    </border>
    <border diagonalUp="false" diagonalDown="false">
      <left style="thin">
        <color rgb="FF3F3F3F"/>
      </left>
      <right style="thin">
        <color rgb="FF3F3F3F"/>
      </right>
      <top style="medium"/>
      <bottom style="medium"/>
      <diagonal/>
    </border>
    <border diagonalUp="false" diagonalDown="false">
      <left style="thin">
        <color rgb="FF3F3F3F"/>
      </left>
      <right style="medium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/>
      <top style="hair"/>
      <bottom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 style="thin"/>
      <top style="dotted"/>
      <bottom style="dotted"/>
      <diagonal/>
    </border>
    <border diagonalUp="false" diagonalDown="false">
      <left style="thin"/>
      <right style="thin"/>
      <top style="dotted"/>
      <bottom style="thin"/>
      <diagonal/>
    </border>
    <border diagonalUp="false" diagonalDown="false">
      <left style="thin"/>
      <right style="thin"/>
      <top/>
      <bottom style="dotted"/>
      <diagonal/>
    </border>
    <border diagonalUp="false" diagonalDown="false">
      <left style="double"/>
      <right style="double"/>
      <top style="double"/>
      <bottom style="thin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double"/>
      <right/>
      <top style="thin"/>
      <bottom style="thin"/>
      <diagonal/>
    </border>
    <border diagonalUp="false" diagonalDown="false">
      <left style="double"/>
      <right style="thin"/>
      <top style="thin"/>
      <bottom/>
      <diagonal/>
    </border>
    <border diagonalUp="false" diagonalDown="false">
      <left style="double"/>
      <right style="thin"/>
      <top style="thin"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</borders>
  <cellStyleXfs count="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28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9" fillId="2" borderId="0" xfId="28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10" fillId="2" borderId="0" xfId="28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10" fillId="2" borderId="0" xfId="28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0" fillId="2" borderId="0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4" fontId="4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2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4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8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19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8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1" fillId="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5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7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8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6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29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6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6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3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4" fontId="29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6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3" fillId="6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6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9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9" fillId="0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6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2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3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3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6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3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3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2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2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6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1" fillId="6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6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6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6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6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6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2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13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9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3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3" fillId="6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33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3" fillId="2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2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3" fillId="2" borderId="2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13" fillId="2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13" fillId="2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3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9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7" fillId="4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13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7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4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2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7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7" fillId="4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5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6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33" fillId="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33" fillId="4" borderId="2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33" fillId="4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33" fillId="10" borderId="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33" fillId="10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33" fillId="10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33" fillId="1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9" fontId="33" fillId="1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6" fontId="33" fillId="10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1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10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3" fillId="2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1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1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30" xfId="28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2" borderId="0" xfId="28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0" borderId="0" xfId="28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28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5" fontId="40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4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" borderId="1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7" fillId="2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7" fillId="2" borderId="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7" fillId="4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4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4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5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4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7" fillId="2" borderId="9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7" fillId="4" borderId="3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4" borderId="3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4" borderId="3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4" borderId="3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7" fillId="2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7" fontId="17" fillId="4" borderId="3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6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7" fillId="6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6" borderId="2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6" borderId="1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2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4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2" borderId="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17" fillId="4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4" borderId="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17" fillId="4" borderId="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7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4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7" fillId="2" borderId="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17" fillId="2" borderId="3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1" fontId="17" fillId="2" borderId="3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7" fillId="0" borderId="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17" fillId="4" borderId="36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17" fillId="4" borderId="37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7" fillId="4" borderId="3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7" fillId="4" borderId="3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7" fillId="2" borderId="3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1" fontId="13" fillId="2" borderId="3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1" fontId="27" fillId="2" borderId="15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17" fillId="2" borderId="3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2" borderId="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6" fontId="17" fillId="2" borderId="3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5" fontId="27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4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17" fillId="4" borderId="4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4" borderId="4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6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6" borderId="2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6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7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27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2" borderId="4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2" borderId="4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7" fillId="2" borderId="4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17" fillId="2" borderId="3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2" borderId="3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7" fillId="2" borderId="3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17" fillId="4" borderId="3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4" borderId="4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71" fontId="17" fillId="4" borderId="4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1" fontId="17" fillId="4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17" fillId="4" borderId="3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7" fillId="2" borderId="1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70" fontId="17" fillId="2" borderId="4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2" borderId="4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7" fillId="2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1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6" borderId="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7" fillId="6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6" borderId="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6" borderId="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1" fontId="17" fillId="4" borderId="4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7" fillId="2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2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7" fillId="4" borderId="4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7" fillId="4" borderId="4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2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" borderId="2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7" fillId="2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4" borderId="4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17" fillId="4" borderId="4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17" fillId="4" borderId="4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32" fillId="2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2" borderId="5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7" fillId="2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38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7" fillId="4" borderId="3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7" fillId="4" borderId="3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6" fontId="17" fillId="4" borderId="3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7" fillId="4" borderId="3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2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71" fontId="17" fillId="4" borderId="5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4" borderId="5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17" fillId="4" borderId="5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17" fillId="4" borderId="5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7" fillId="2" borderId="5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2" borderId="54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7" fillId="2" borderId="44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7" fillId="2" borderId="5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17" fillId="2" borderId="5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17" fillId="2" borderId="44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2" borderId="5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5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2" borderId="5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4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4" borderId="5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4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7" fillId="4" borderId="5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7" fillId="4" borderId="4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4" borderId="4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7" fillId="4" borderId="4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27" fillId="6" borderId="2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27" fillId="2" borderId="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7" fillId="4" borderId="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17" fillId="4" borderId="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17" fillId="4" borderId="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" borderId="5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2" borderId="5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7" fillId="2" borderId="5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4" borderId="4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7" fillId="4" borderId="3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1" fontId="17" fillId="4" borderId="3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71" fontId="17" fillId="4" borderId="3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7" fillId="2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4" fillId="2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2" fillId="2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2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4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3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4" borderId="4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4" borderId="3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4" borderId="3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7" fillId="4" borderId="4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17" fillId="4" borderId="4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27" fillId="2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4" fillId="2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2" fillId="2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2" fillId="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3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5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4" borderId="44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6" fontId="17" fillId="4" borderId="5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17" fillId="4" borderId="5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17" fillId="4" borderId="3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5" fontId="27" fillId="2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2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7" fillId="4" borderId="3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17" fillId="4" borderId="5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4" borderId="5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17" fillId="4" borderId="3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17" fillId="4" borderId="5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7" fillId="4" borderId="44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17" fillId="4" borderId="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4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17" fillId="4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17" fillId="4" borderId="1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2" borderId="9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9" fontId="17" fillId="2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3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4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5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4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11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7" fillId="4" borderId="3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11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4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2" borderId="1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78" fontId="13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4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11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4" fillId="4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9" fontId="17" fillId="2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2" borderId="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17" fillId="2" borderId="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2" borderId="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17" fillId="2" borderId="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17" fillId="2" borderId="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4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7" fillId="2" borderId="4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2" borderId="4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17" fillId="2" borderId="4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2" borderId="4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11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7" fillId="2" borderId="3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4" fillId="4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7" fillId="2" borderId="3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7" fillId="2" borderId="4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2" borderId="6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2" borderId="6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17" fillId="2" borderId="4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8" fontId="4" fillId="4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2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11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4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4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4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4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4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4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4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44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44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44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4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0" xfId="28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5" fillId="2" borderId="6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6" fillId="2" borderId="6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5" fillId="2" borderId="6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5" fillId="2" borderId="6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7" fillId="0" borderId="6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6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2" borderId="6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6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6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6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48" fillId="3" borderId="6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9" fillId="6" borderId="7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2" borderId="6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0" fontId="49" fillId="6" borderId="7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2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5" fontId="46" fillId="4" borderId="6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51" fillId="4" borderId="6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4" borderId="6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7" fillId="0" borderId="7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74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2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48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9" fillId="6" borderId="7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6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2" borderId="1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2" borderId="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0" fontId="48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9" fillId="6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9" fillId="6" borderId="7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9" fontId="49" fillId="6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2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3" fillId="2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2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53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7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2" borderId="7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2" borderId="7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48" fillId="3" borderId="7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9" fillId="6" borderId="7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9" fillId="6" borderId="8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8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5" fontId="22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49" fillId="6" borderId="8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82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2" borderId="7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8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49" fillId="6" borderId="7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49" fillId="6" borderId="8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54" fillId="2" borderId="7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5" fillId="2" borderId="8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5" fillId="2" borderId="8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5" fillId="2" borderId="6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5" fillId="2" borderId="8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5" fillId="2" borderId="8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5" fillId="2" borderId="8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5" fillId="2" borderId="89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9" fontId="6" fillId="2" borderId="9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4" borderId="9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4" borderId="9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1" fontId="6" fillId="4" borderId="9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70" fontId="54" fillId="2" borderId="9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80" fontId="6" fillId="4" borderId="9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9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6" fillId="2" borderId="9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4" borderId="9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6" fillId="4" borderId="9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1" fontId="6" fillId="4" borderId="9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9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6" fillId="2" borderId="10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6" fillId="2" borderId="10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2" borderId="10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6" fillId="4" borderId="9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6" fillId="4" borderId="9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10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6" fillId="2" borderId="10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6" fillId="2" borderId="10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2" borderId="10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9" fontId="5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9" fontId="50" fillId="0" borderId="0" xfId="0" applyFont="true" applyBorder="false" applyAlignment="true" applyProtection="true">
      <alignment horizontal="right" vertical="bottom" textRotation="0" wrapText="false" indent="0" shrinkToFit="false"/>
      <protection locked="false" hidden="false"/>
    </xf>
    <xf numFmtId="164" fontId="5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81" fontId="6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75" fontId="27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70" fontId="27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1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5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10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6" fillId="2" borderId="10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6" fillId="12" borderId="10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6" fillId="12" borderId="7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13" borderId="7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13" borderId="10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13" borderId="7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13" borderId="1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8" fillId="14" borderId="1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3" borderId="11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8" fillId="14" borderId="11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2" borderId="11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13" borderId="11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8" fillId="14" borderId="11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13" borderId="11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8" fillId="14" borderId="11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2" borderId="1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13" borderId="1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8" fillId="14" borderId="1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6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7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6" fillId="13" borderId="7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9" fillId="10" borderId="11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8" fillId="13" borderId="7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13" borderId="12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0" fillId="15" borderId="12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2" borderId="11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1" fillId="10" borderId="12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5" fontId="61" fillId="10" borderId="1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62" fillId="10" borderId="1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61" fillId="10" borderId="12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5" fontId="61" fillId="10" borderId="12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8" fillId="2" borderId="8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6" fillId="13" borderId="10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56" fillId="13" borderId="8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6" fillId="13" borderId="12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5" fontId="59" fillId="10" borderId="12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2" borderId="12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6" fillId="13" borderId="13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8" fillId="14" borderId="13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2" borderId="13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6" fillId="13" borderId="13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8" fillId="1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2" borderId="13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5" fontId="59" fillId="1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0" fontId="59" fillId="1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6" fillId="13" borderId="13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7" fontId="59" fillId="10" borderId="13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4" fillId="0" borderId="0" xfId="28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20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3" fillId="2" borderId="1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75" fontId="4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75" fontId="4" fillId="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3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4" fillId="5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5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2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2" borderId="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2" borderId="1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2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2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3" fillId="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5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2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13" fillId="2" borderId="12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3" fillId="2" borderId="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5" fontId="18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3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5" fontId="18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8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3" fillId="2" borderId="2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8" fillId="3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2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5" fontId="18" fillId="3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5" fontId="13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41" fillId="2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64" fillId="2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82" fontId="13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8" fontId="13" fillId="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0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6" fontId="13" fillId="4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2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82" fontId="13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4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83" fontId="13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2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83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7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7" fillId="4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4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1" fontId="27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5" fillId="2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70" fontId="2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3" fillId="4" borderId="13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2" borderId="5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3" fillId="2" borderId="5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3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4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4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4" borderId="1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82" fontId="13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0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27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3" fillId="2" borderId="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2" borderId="1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3" fillId="2" borderId="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3" fillId="0" borderId="1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2" borderId="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3" fillId="2" borderId="1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3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2" borderId="2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4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2" borderId="1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13" fillId="4" borderId="1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3" fillId="2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3" fillId="2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13" fillId="2" borderId="2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2" borderId="2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65" fillId="16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66" fillId="16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3" fillId="2" borderId="1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4" borderId="2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4" borderId="2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2" borderId="2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2" borderId="2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3" fillId="4" borderId="2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4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2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3" fillId="2" borderId="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4" borderId="1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4" borderId="1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2" borderId="1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4" borderId="1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4" borderId="3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1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21" fillId="4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3" fillId="4" borderId="1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5" fontId="4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70" fontId="4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3" fillId="2" borderId="2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2" borderId="1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2" borderId="2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3" fillId="2" borderId="1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0" borderId="3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2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64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3" fillId="2" borderId="1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1" fillId="4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3" fillId="2" borderId="1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7" fillId="2" borderId="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67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3" fillId="2" borderId="5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2" borderId="8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3" fillId="2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2" borderId="13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3" fillId="2" borderId="13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0" borderId="5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4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0" borderId="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3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4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3" fillId="4" borderId="2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4" borderId="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3" fillId="0" borderId="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3" fillId="0" borderId="1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3" fillId="4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2" borderId="1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2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9" fillId="2" borderId="0" xfId="2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15" fillId="10" borderId="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0" fontId="15" fillId="1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5" fontId="68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4" fillId="4" borderId="2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4" borderId="5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9" fontId="15" fillId="10" borderId="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83" fontId="4" fillId="4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1" fillId="0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0" borderId="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21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4" fillId="4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4" fillId="4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4" fillId="4" borderId="5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4" fillId="4" borderId="5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4" borderId="2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4" fillId="4" borderId="2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2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9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4" fillId="4" borderId="13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9" fillId="6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4" borderId="13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4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5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" borderId="9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2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1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17" borderId="13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17" borderId="14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1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4" fillId="2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2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7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" borderId="5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21" fillId="2" borderId="6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21" fillId="2" borderId="7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70" fontId="27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7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" borderId="2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75" fontId="69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12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4" fillId="2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4" fillId="2" borderId="2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4" fontId="5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7" fillId="2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4" fillId="4" borderId="14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0" fillId="2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5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2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28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4" fillId="2" borderId="0" xfId="28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4" fillId="2" borderId="0" xfId="28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2" borderId="0" xfId="28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4" fillId="2" borderId="0" xfId="28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1" fillId="5" borderId="1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4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2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4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7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4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1" fillId="5" borderId="14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1" fillId="5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1" fontId="4" fillId="0" borderId="1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8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2" borderId="1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9" fontId="4" fillId="2" borderId="14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1" fillId="0" borderId="1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1" fillId="0" borderId="1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1" fillId="0" borderId="1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1" fillId="0" borderId="1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5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9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4" borderId="5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4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2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4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5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4" fillId="2" borderId="0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4" fillId="4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4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2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4" fillId="4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4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0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0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2" xfId="21"/>
    <cellStyle name="Normal 3" xfId="22"/>
    <cellStyle name="Percent 2" xfId="23"/>
    <cellStyle name="Percent 3" xfId="24"/>
    <cellStyle name="Percent 4" xfId="25"/>
    <cellStyle name="Standaard 2" xfId="26"/>
    <cellStyle name="Standaard 3" xfId="27"/>
    <cellStyle name="Excel Built-in Normal" xfId="28"/>
  </cellStyles>
  <dxfs count="34">
    <dxf>
      <font>
        <color rgb="FFFF0000"/>
      </font>
    </dxf>
    <dxf>
      <font>
        <color rgb="FF00B050"/>
      </font>
    </dxf>
    <dxf>
      <font>
        <name val="Arial"/>
        <charset val="1"/>
        <family val="0"/>
        <color rgb="FF000000"/>
        <sz val="11"/>
      </font>
    </dxf>
    <dxf>
      <fill>
        <patternFill>
          <bgColor theme="4" tint="0.5999"/>
        </patternFill>
      </fill>
    </dxf>
    <dxf>
      <fill>
        <patternFill>
          <bgColor theme="5" tint="0.3999"/>
        </patternFill>
      </fill>
    </dxf>
    <dxf>
      <fill>
        <patternFill>
          <bgColor rgb="FF7030A0"/>
        </patternFill>
      </fill>
    </dxf>
    <dxf>
      <fill>
        <patternFill>
          <bgColor rgb="FFCC66FF"/>
        </patternFill>
      </fill>
    </dxf>
    <dxf>
      <fill>
        <patternFill>
          <bgColor theme="9" tint="-0.25"/>
        </patternFill>
      </fill>
    </dxf>
    <dxf>
      <fill>
        <patternFill>
          <bgColor rgb="FF00B0F0"/>
        </patternFill>
      </fill>
    </dxf>
    <dxf>
      <fill>
        <patternFill>
          <bgColor theme="9" tint="0.3999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3300"/>
        </patternFill>
      </fill>
    </dxf>
    <dxf>
      <font>
        <color rgb="FFFFFFFF"/>
      </font>
      <fill>
        <patternFill>
          <bgColor theme="9" tint="0.3999"/>
        </patternFill>
      </fill>
    </dxf>
    <dxf>
      <fill>
        <patternFill>
          <bgColor theme="5"/>
        </patternFill>
      </fill>
    </dxf>
    <dxf>
      <fill>
        <patternFill>
          <bgColor rgb="FFC00000"/>
        </patternFill>
      </fill>
    </dxf>
    <dxf>
      <font>
        <color rgb="FFFFCC99"/>
      </font>
    </dxf>
    <dxf>
      <font>
        <color rgb="FFFF0000"/>
      </font>
      <fill>
        <patternFill>
          <bgColor rgb="FFFFFFFF"/>
        </patternFill>
      </fill>
    </dxf>
    <dxf>
      <font>
        <color rgb="FFFFCC99"/>
      </font>
      <fill>
        <patternFill>
          <bgColor rgb="FFFFCC99"/>
        </patternFill>
      </fill>
    </dxf>
    <dxf>
      <font>
        <color rgb="FFFFFFFF"/>
      </font>
      <fill>
        <patternFill>
          <bgColor theme="2"/>
        </patternFill>
      </fill>
    </dxf>
    <dxf>
      <font>
        <color rgb="FFFFFFFF"/>
      </font>
    </dxf>
    <dxf>
      <fill>
        <patternFill>
          <bgColor rgb="FFCC99FF"/>
        </patternFill>
      </fill>
    </dxf>
    <dxf>
      <font>
        <strike val="0"/>
        <color rgb="FF000000"/>
      </font>
      <fill>
        <patternFill>
          <bgColor rgb="FF92D050"/>
        </patternFill>
      </fill>
    </dxf>
    <dxf>
      <font>
        <b val="1"/>
        <color rgb="FFFF0000"/>
      </font>
    </dxf>
    <dxf>
      <fill>
        <patternFill>
          <bgColor theme="9"/>
        </patternFill>
      </fill>
    </dxf>
    <dxf>
      <fill>
        <patternFill>
          <bgColor rgb="FFFFFFCC"/>
        </patternFill>
      </fill>
    </dxf>
    <dxf>
      <font>
        <color rgb="FF000000"/>
      </font>
    </dxf>
    <dxf>
      <font>
        <b val="1"/>
        <i val="1"/>
        <color rgb="FF00B050"/>
      </font>
    </dxf>
    <dxf>
      <font>
        <i val="1"/>
        <color rgb="FF000000"/>
      </font>
    </dxf>
    <dxf>
      <font>
        <strike val="0"/>
        <color rgb="FF000000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BFBFBF"/>
      <rgbColor rgb="FF7F7F7F"/>
      <rgbColor rgb="FF6699FF"/>
      <rgbColor rgb="FF7030A0"/>
      <rgbColor rgb="FFFFFFCC"/>
      <rgbColor rgb="FFF2F2F2"/>
      <rgbColor rgb="FF660066"/>
      <rgbColor rgb="FFED7D31"/>
      <rgbColor rgb="FF0066CC"/>
      <rgbColor rgb="FFB4C7E7"/>
      <rgbColor rgb="FF000080"/>
      <rgbColor rgb="FFFF00FF"/>
      <rgbColor rgb="FFA9D18E"/>
      <rgbColor rgb="FF00FFFF"/>
      <rgbColor rgb="FF800080"/>
      <rgbColor rgb="FF800000"/>
      <rgbColor rgb="FF008080"/>
      <rgbColor rgb="FF0000FF"/>
      <rgbColor rgb="FF00B0F0"/>
      <rgbColor rgb="FFD9D9D9"/>
      <rgbColor rgb="FFFFF2CC"/>
      <rgbColor rgb="FFFFFF99"/>
      <rgbColor rgb="FFC9C9C9"/>
      <rgbColor rgb="FFF4B183"/>
      <rgbColor rgb="FFCC99FF"/>
      <rgbColor rgb="FFFFCC99"/>
      <rgbColor rgb="FF3366FF"/>
      <rgbColor rgb="FF70AD47"/>
      <rgbColor rgb="FF92D050"/>
      <rgbColor rgb="FFFFC000"/>
      <rgbColor rgb="FFFF9900"/>
      <rgbColor rgb="FFFA7D00"/>
      <rgbColor rgb="FFCC66FF"/>
      <rgbColor rgb="FFA5A5A5"/>
      <rgbColor rgb="FF002060"/>
      <rgbColor rgb="FF00B050"/>
      <rgbColor rgb="FF003300"/>
      <rgbColor rgb="FF333300"/>
      <rgbColor rgb="FFFF3300"/>
      <rgbColor rgb="FF993366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G10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9" activeCellId="0" sqref="E9"/>
    </sheetView>
  </sheetViews>
  <sheetFormatPr defaultColWidth="8.00390625" defaultRowHeight="15" zeroHeight="false" outlineLevelRow="0" outlineLevelCol="0"/>
  <cols>
    <col collapsed="false" customWidth="true" hidden="false" outlineLevel="0" max="2" min="1" style="1" width="4.5"/>
    <col collapsed="false" customWidth="true" hidden="false" outlineLevel="0" max="3" min="3" style="1" width="9.5"/>
    <col collapsed="false" customWidth="true" hidden="false" outlineLevel="0" max="4" min="4" style="1" width="7"/>
    <col collapsed="false" customWidth="true" hidden="false" outlineLevel="0" max="5" min="5" style="1" width="5"/>
    <col collapsed="false" customWidth="true" hidden="false" outlineLevel="0" max="6" min="6" style="1" width="10.88"/>
    <col collapsed="false" customWidth="true" hidden="false" outlineLevel="0" max="8" min="7" style="1" width="5.12"/>
    <col collapsed="false" customWidth="true" hidden="false" outlineLevel="0" max="9" min="9" style="1" width="3.12"/>
    <col collapsed="false" customWidth="true" hidden="false" outlineLevel="0" max="10" min="10" style="1" width="4.12"/>
    <col collapsed="false" customWidth="true" hidden="false" outlineLevel="0" max="11" min="11" style="1" width="6"/>
    <col collapsed="false" customWidth="true" hidden="false" outlineLevel="0" max="12" min="12" style="1" width="5.12"/>
    <col collapsed="false" customWidth="true" hidden="false" outlineLevel="0" max="13" min="13" style="1" width="5.5"/>
    <col collapsed="false" customWidth="true" hidden="false" outlineLevel="0" max="14" min="14" style="1" width="3.12"/>
    <col collapsed="false" customWidth="true" hidden="false" outlineLevel="0" max="15" min="15" style="1" width="5"/>
    <col collapsed="false" customWidth="true" hidden="false" outlineLevel="0" max="16" min="16" style="1" width="9.12"/>
    <col collapsed="false" customWidth="false" hidden="false" outlineLevel="0" max="17" min="17" style="2" width="8"/>
    <col collapsed="false" customWidth="false" hidden="false" outlineLevel="0" max="18" min="18" style="3" width="8"/>
    <col collapsed="false" customWidth="true" hidden="false" outlineLevel="0" max="19" min="19" style="3" width="13"/>
    <col collapsed="false" customWidth="true" hidden="false" outlineLevel="0" max="20" min="20" style="3" width="8.12"/>
    <col collapsed="false" customWidth="true" hidden="false" outlineLevel="0" max="21" min="21" style="4" width="10.12"/>
    <col collapsed="false" customWidth="true" hidden="true" outlineLevel="0" max="28" min="22" style="1" width="10.49"/>
    <col collapsed="false" customWidth="false" hidden="true" outlineLevel="0" max="16384" min="29" style="1" width="8"/>
  </cols>
  <sheetData>
    <row r="1" s="7" customFormat="true" ht="15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6" t="s">
        <v>1</v>
      </c>
      <c r="R1" s="6"/>
      <c r="S1" s="6"/>
      <c r="T1" s="6"/>
      <c r="U1" s="6"/>
    </row>
    <row r="2" s="7" customFormat="true" ht="1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/>
      <c r="R2" s="6"/>
      <c r="S2" s="6"/>
      <c r="T2" s="6"/>
      <c r="U2" s="6"/>
    </row>
    <row r="3" s="7" customFormat="true" ht="15" hidden="false" customHeight="true" outlineLevel="0" collapsed="false">
      <c r="A3" s="8" t="s">
        <v>2</v>
      </c>
      <c r="B3" s="8"/>
      <c r="C3" s="9"/>
      <c r="D3" s="9"/>
      <c r="E3" s="9"/>
      <c r="F3" s="9"/>
      <c r="G3" s="9"/>
      <c r="H3" s="10" t="s">
        <v>3</v>
      </c>
      <c r="I3" s="10"/>
      <c r="J3" s="10"/>
      <c r="K3" s="11" t="n">
        <v>26225</v>
      </c>
      <c r="L3" s="11"/>
      <c r="M3" s="11"/>
      <c r="N3" s="12"/>
      <c r="O3" s="13"/>
      <c r="P3" s="14"/>
      <c r="Q3" s="15"/>
      <c r="R3" s="16"/>
      <c r="S3" s="16"/>
      <c r="T3" s="16"/>
      <c r="U3" s="16"/>
    </row>
    <row r="4" s="7" customFormat="true" ht="15" hidden="false" customHeight="true" outlineLevel="0" collapsed="false">
      <c r="A4" s="8"/>
      <c r="B4" s="8"/>
      <c r="C4" s="9"/>
      <c r="D4" s="9"/>
      <c r="E4" s="9"/>
      <c r="F4" s="9"/>
      <c r="G4" s="9"/>
      <c r="H4" s="10"/>
      <c r="I4" s="10"/>
      <c r="J4" s="10"/>
      <c r="K4" s="11"/>
      <c r="L4" s="11"/>
      <c r="M4" s="11"/>
      <c r="N4" s="17"/>
      <c r="O4" s="17"/>
      <c r="P4" s="17"/>
      <c r="Q4" s="15"/>
      <c r="R4" s="16"/>
      <c r="S4" s="16"/>
      <c r="T4" s="16"/>
      <c r="U4" s="16"/>
    </row>
    <row r="5" s="7" customFormat="true" ht="15" hidden="false" customHeight="true" outlineLevel="0" collapsed="false">
      <c r="A5" s="18" t="s">
        <v>4</v>
      </c>
      <c r="B5" s="18"/>
      <c r="C5" s="18"/>
      <c r="D5" s="18"/>
      <c r="E5" s="19" t="str">
        <f aca="false">IF(LEFT(Q1,2)="WP","Waarderpolder","Jopen Kerk")</f>
        <v>Waarderpolder</v>
      </c>
      <c r="F5" s="19"/>
      <c r="G5" s="19"/>
      <c r="H5" s="19"/>
      <c r="I5" s="19"/>
      <c r="J5" s="19"/>
      <c r="K5" s="19"/>
      <c r="L5" s="19"/>
      <c r="M5" s="19"/>
      <c r="N5" s="20"/>
      <c r="O5" s="21"/>
      <c r="P5" s="22"/>
      <c r="Q5" s="15"/>
      <c r="R5" s="16"/>
      <c r="S5" s="16"/>
      <c r="T5" s="16"/>
      <c r="U5" s="16"/>
    </row>
    <row r="6" s="7" customFormat="true" ht="15" hidden="false" customHeight="true" outlineLevel="0" collapsed="false">
      <c r="A6" s="18"/>
      <c r="B6" s="18"/>
      <c r="C6" s="18"/>
      <c r="D6" s="18"/>
      <c r="E6" s="19"/>
      <c r="F6" s="19"/>
      <c r="G6" s="19"/>
      <c r="H6" s="19"/>
      <c r="I6" s="19"/>
      <c r="J6" s="19"/>
      <c r="K6" s="19"/>
      <c r="L6" s="19"/>
      <c r="M6" s="19"/>
      <c r="N6" s="20"/>
      <c r="O6" s="21"/>
      <c r="P6" s="22"/>
      <c r="Q6" s="15"/>
      <c r="R6" s="16"/>
      <c r="S6" s="16"/>
      <c r="T6" s="16"/>
      <c r="U6" s="16"/>
    </row>
    <row r="7" s="7" customFormat="true" ht="15" hidden="false" customHeight="true" outlineLevel="0" collapsed="false">
      <c r="A7" s="10" t="s">
        <v>5</v>
      </c>
      <c r="B7" s="10"/>
      <c r="C7" s="23"/>
      <c r="D7" s="23"/>
      <c r="E7" s="24" t="s">
        <v>6</v>
      </c>
      <c r="F7" s="24"/>
      <c r="G7" s="25" t="n">
        <v>1</v>
      </c>
      <c r="H7" s="26" t="s">
        <v>7</v>
      </c>
      <c r="I7" s="26"/>
      <c r="J7" s="26"/>
      <c r="K7" s="27" t="s">
        <v>8</v>
      </c>
      <c r="L7" s="27"/>
      <c r="M7" s="27"/>
      <c r="N7" s="20"/>
      <c r="O7" s="21"/>
      <c r="P7" s="22"/>
      <c r="Q7" s="15"/>
      <c r="R7" s="16"/>
      <c r="S7" s="16"/>
      <c r="T7" s="16"/>
      <c r="U7" s="16"/>
    </row>
    <row r="8" s="7" customFormat="true" ht="15" hidden="false" customHeight="true" outlineLevel="0" collapsed="false">
      <c r="A8" s="10"/>
      <c r="B8" s="10"/>
      <c r="C8" s="23"/>
      <c r="D8" s="23"/>
      <c r="E8" s="24"/>
      <c r="F8" s="24"/>
      <c r="G8" s="25"/>
      <c r="H8" s="26"/>
      <c r="I8" s="26"/>
      <c r="J8" s="26"/>
      <c r="K8" s="27"/>
      <c r="L8" s="27"/>
      <c r="M8" s="27"/>
      <c r="N8" s="20"/>
      <c r="O8" s="21"/>
      <c r="P8" s="22"/>
      <c r="Q8" s="15"/>
      <c r="R8" s="16"/>
      <c r="S8" s="16"/>
      <c r="T8" s="16"/>
      <c r="U8" s="16"/>
    </row>
    <row r="9" s="7" customFormat="true" ht="15" hidden="false" customHeight="true" outlineLevel="0" collapsed="false">
      <c r="A9" s="28" t="s">
        <v>9</v>
      </c>
      <c r="B9" s="28"/>
      <c r="C9" s="29"/>
      <c r="D9" s="29"/>
      <c r="E9" s="30" t="str">
        <f aca="false">IF(LEFT(Q1,2)="WP", "Kamers mashfilter","walsenmolen")</f>
        <v>Kamers mashfilter</v>
      </c>
      <c r="F9" s="30"/>
      <c r="G9" s="30"/>
      <c r="H9" s="30"/>
      <c r="I9" s="30"/>
      <c r="J9" s="30"/>
      <c r="K9" s="31"/>
      <c r="L9" s="31"/>
      <c r="M9" s="31"/>
      <c r="N9" s="20"/>
      <c r="O9" s="21"/>
      <c r="P9" s="22"/>
      <c r="Q9" s="15"/>
      <c r="R9" s="16"/>
      <c r="S9" s="16"/>
      <c r="T9" s="16"/>
      <c r="U9" s="16"/>
    </row>
    <row r="10" s="7" customFormat="true" ht="15" hidden="false" customHeight="true" outlineLevel="0" collapsed="false">
      <c r="A10" s="32" t="s">
        <v>10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20"/>
      <c r="O10" s="21"/>
      <c r="P10" s="22"/>
      <c r="Q10" s="15"/>
      <c r="R10" s="16"/>
      <c r="S10" s="16"/>
      <c r="T10" s="16"/>
      <c r="U10" s="16"/>
    </row>
    <row r="11" s="7" customFormat="true" ht="15" hidden="false" customHeight="true" outlineLevel="0" collapsed="false">
      <c r="A11" s="33" t="s">
        <v>11</v>
      </c>
      <c r="B11" s="33"/>
      <c r="C11" s="33"/>
      <c r="D11" s="34" t="s">
        <v>12</v>
      </c>
      <c r="E11" s="34" t="s">
        <v>13</v>
      </c>
      <c r="F11" s="35" t="s">
        <v>14</v>
      </c>
      <c r="G11" s="33" t="s">
        <v>11</v>
      </c>
      <c r="H11" s="33"/>
      <c r="I11" s="33"/>
      <c r="J11" s="33"/>
      <c r="K11" s="34" t="s">
        <v>12</v>
      </c>
      <c r="L11" s="34" t="s">
        <v>13</v>
      </c>
      <c r="M11" s="34" t="s">
        <v>14</v>
      </c>
      <c r="N11" s="20"/>
      <c r="O11" s="21"/>
      <c r="P11" s="22"/>
      <c r="Q11" s="15"/>
      <c r="R11" s="16"/>
      <c r="S11" s="16"/>
      <c r="T11" s="16"/>
      <c r="U11" s="16"/>
    </row>
    <row r="12" s="7" customFormat="true" ht="15" hidden="false" customHeight="true" outlineLevel="0" collapsed="false">
      <c r="A12" s="36" t="s">
        <v>15</v>
      </c>
      <c r="B12" s="36"/>
      <c r="C12" s="36"/>
      <c r="D12" s="37" t="s">
        <v>16</v>
      </c>
      <c r="E12" s="38"/>
      <c r="F12" s="39"/>
      <c r="G12" s="40" t="s">
        <v>17</v>
      </c>
      <c r="H12" s="40"/>
      <c r="I12" s="40"/>
      <c r="J12" s="40"/>
      <c r="K12" s="37" t="s">
        <v>18</v>
      </c>
      <c r="L12" s="38"/>
      <c r="M12" s="41"/>
      <c r="N12" s="20"/>
      <c r="O12" s="21"/>
      <c r="P12" s="22"/>
      <c r="Q12" s="15"/>
      <c r="R12" s="16"/>
      <c r="S12" s="16"/>
      <c r="T12" s="16"/>
      <c r="U12" s="16"/>
    </row>
    <row r="13" s="7" customFormat="true" ht="15" hidden="false" customHeight="true" outlineLevel="0" collapsed="false">
      <c r="A13" s="42" t="s">
        <v>19</v>
      </c>
      <c r="B13" s="42"/>
      <c r="C13" s="42"/>
      <c r="D13" s="43" t="s">
        <v>16</v>
      </c>
      <c r="E13" s="38"/>
      <c r="F13" s="44"/>
      <c r="G13" s="45" t="s">
        <v>20</v>
      </c>
      <c r="H13" s="45"/>
      <c r="I13" s="45"/>
      <c r="J13" s="45"/>
      <c r="K13" s="43" t="s">
        <v>21</v>
      </c>
      <c r="L13" s="38"/>
      <c r="M13" s="44"/>
      <c r="N13" s="20"/>
      <c r="O13" s="21"/>
      <c r="P13" s="22"/>
      <c r="Q13" s="15"/>
      <c r="R13" s="16"/>
      <c r="S13" s="16"/>
      <c r="T13" s="16"/>
      <c r="U13" s="16"/>
    </row>
    <row r="14" s="7" customFormat="true" ht="15" hidden="false" customHeight="true" outlineLevel="0" collapsed="false">
      <c r="A14" s="42" t="s">
        <v>22</v>
      </c>
      <c r="B14" s="42"/>
      <c r="C14" s="42"/>
      <c r="D14" s="43" t="s">
        <v>23</v>
      </c>
      <c r="E14" s="38"/>
      <c r="F14" s="44"/>
      <c r="G14" s="45" t="s">
        <v>24</v>
      </c>
      <c r="H14" s="45"/>
      <c r="I14" s="45"/>
      <c r="J14" s="45"/>
      <c r="K14" s="43" t="s">
        <v>21</v>
      </c>
      <c r="L14" s="38"/>
      <c r="M14" s="46"/>
      <c r="N14" s="20"/>
      <c r="O14" s="21"/>
      <c r="P14" s="22"/>
      <c r="Q14" s="15"/>
      <c r="R14" s="16"/>
      <c r="S14" s="16"/>
      <c r="T14" s="16"/>
      <c r="U14" s="16"/>
    </row>
    <row r="15" s="52" customFormat="true" ht="15" hidden="false" customHeight="true" outlineLevel="0" collapsed="false">
      <c r="A15" s="42" t="s">
        <v>25</v>
      </c>
      <c r="B15" s="42"/>
      <c r="C15" s="42"/>
      <c r="D15" s="43" t="s">
        <v>26</v>
      </c>
      <c r="E15" s="38"/>
      <c r="F15" s="47"/>
      <c r="G15" s="45" t="s">
        <v>27</v>
      </c>
      <c r="H15" s="45"/>
      <c r="I15" s="45"/>
      <c r="J15" s="45"/>
      <c r="K15" s="43" t="s">
        <v>21</v>
      </c>
      <c r="L15" s="38"/>
      <c r="M15" s="46"/>
      <c r="N15" s="20"/>
      <c r="O15" s="21"/>
      <c r="P15" s="22"/>
      <c r="Q15" s="15"/>
      <c r="R15" s="48"/>
      <c r="S15" s="49"/>
      <c r="T15" s="50"/>
      <c r="U15" s="51"/>
    </row>
    <row r="16" s="52" customFormat="true" ht="15" hidden="false" customHeight="true" outlineLevel="0" collapsed="false">
      <c r="A16" s="42" t="s">
        <v>28</v>
      </c>
      <c r="B16" s="42"/>
      <c r="C16" s="42"/>
      <c r="D16" s="43" t="s">
        <v>18</v>
      </c>
      <c r="E16" s="38"/>
      <c r="F16" s="47"/>
      <c r="G16" s="53" t="s">
        <v>29</v>
      </c>
      <c r="H16" s="53"/>
      <c r="I16" s="53"/>
      <c r="J16" s="45"/>
      <c r="K16" s="43" t="s">
        <v>30</v>
      </c>
      <c r="L16" s="38"/>
      <c r="M16" s="46"/>
      <c r="N16" s="54" t="s">
        <v>31</v>
      </c>
      <c r="O16" s="54"/>
      <c r="P16" s="54"/>
      <c r="Q16" s="55"/>
      <c r="R16" s="56"/>
      <c r="S16" s="57"/>
      <c r="T16" s="49"/>
      <c r="U16" s="58"/>
    </row>
    <row r="17" s="52" customFormat="true" ht="15" hidden="false" customHeight="true" outlineLevel="0" collapsed="false">
      <c r="A17" s="42" t="s">
        <v>32</v>
      </c>
      <c r="B17" s="42"/>
      <c r="C17" s="42"/>
      <c r="D17" s="43"/>
      <c r="E17" s="38"/>
      <c r="F17" s="44"/>
      <c r="G17" s="53" t="s">
        <v>33</v>
      </c>
      <c r="H17" s="53"/>
      <c r="I17" s="53"/>
      <c r="J17" s="45"/>
      <c r="K17" s="43" t="s">
        <v>30</v>
      </c>
      <c r="L17" s="38"/>
      <c r="M17" s="46"/>
      <c r="N17" s="59"/>
      <c r="O17" s="59"/>
      <c r="P17" s="59"/>
      <c r="Q17" s="55"/>
      <c r="R17" s="56"/>
      <c r="S17" s="57"/>
      <c r="T17" s="49"/>
      <c r="U17" s="58"/>
    </row>
    <row r="18" s="52" customFormat="true" ht="15" hidden="false" customHeight="true" outlineLevel="0" collapsed="false">
      <c r="A18" s="42" t="s">
        <v>34</v>
      </c>
      <c r="B18" s="42"/>
      <c r="C18" s="42"/>
      <c r="D18" s="43"/>
      <c r="E18" s="38"/>
      <c r="F18" s="60"/>
      <c r="G18" s="53"/>
      <c r="H18" s="53"/>
      <c r="I18" s="53"/>
      <c r="J18" s="61"/>
      <c r="K18" s="62"/>
      <c r="L18" s="38"/>
      <c r="M18" s="63"/>
      <c r="N18" s="59"/>
      <c r="O18" s="59"/>
      <c r="P18" s="59"/>
      <c r="Q18" s="55"/>
      <c r="R18" s="56"/>
      <c r="S18" s="57"/>
      <c r="T18" s="49"/>
      <c r="U18" s="58"/>
    </row>
    <row r="19" s="52" customFormat="true" ht="15" hidden="false" customHeight="true" outlineLevel="0" collapsed="false">
      <c r="A19" s="64" t="s">
        <v>35</v>
      </c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59"/>
      <c r="O19" s="59"/>
      <c r="P19" s="59"/>
      <c r="Q19" s="55"/>
      <c r="R19" s="56"/>
      <c r="S19" s="57"/>
      <c r="T19" s="49"/>
      <c r="U19" s="58"/>
    </row>
    <row r="20" s="52" customFormat="true" ht="15" hidden="false" customHeight="true" outlineLevel="0" collapsed="false">
      <c r="A20" s="33" t="s">
        <v>11</v>
      </c>
      <c r="B20" s="33"/>
      <c r="C20" s="33"/>
      <c r="D20" s="34" t="s">
        <v>12</v>
      </c>
      <c r="E20" s="34" t="s">
        <v>13</v>
      </c>
      <c r="F20" s="34" t="s">
        <v>14</v>
      </c>
      <c r="G20" s="65" t="s">
        <v>11</v>
      </c>
      <c r="H20" s="65"/>
      <c r="I20" s="65"/>
      <c r="J20" s="65"/>
      <c r="K20" s="35" t="s">
        <v>12</v>
      </c>
      <c r="L20" s="34" t="s">
        <v>13</v>
      </c>
      <c r="M20" s="35" t="s">
        <v>14</v>
      </c>
      <c r="N20" s="59"/>
      <c r="O20" s="59"/>
      <c r="P20" s="59"/>
      <c r="Q20" s="55"/>
      <c r="R20" s="56"/>
      <c r="S20" s="66"/>
      <c r="T20" s="49"/>
      <c r="U20" s="58"/>
    </row>
    <row r="21" s="52" customFormat="true" ht="15" hidden="false" customHeight="true" outlineLevel="0" collapsed="false">
      <c r="A21" s="36" t="str">
        <f aca="false">IF(LEFT(Q1,2)="WP", "Pitching Temp,","Wort koeling temp,")</f>
        <v>Pitching Temp,</v>
      </c>
      <c r="B21" s="36"/>
      <c r="C21" s="36"/>
      <c r="D21" s="37" t="s">
        <v>36</v>
      </c>
      <c r="E21" s="38"/>
      <c r="F21" s="39"/>
      <c r="G21" s="40" t="s">
        <v>37</v>
      </c>
      <c r="H21" s="40"/>
      <c r="I21" s="40"/>
      <c r="J21" s="40"/>
      <c r="K21" s="37" t="s">
        <v>38</v>
      </c>
      <c r="L21" s="67"/>
      <c r="M21" s="41"/>
      <c r="N21" s="54" t="s">
        <v>39</v>
      </c>
      <c r="O21" s="54"/>
      <c r="P21" s="54"/>
      <c r="Q21" s="55"/>
      <c r="R21" s="68"/>
      <c r="S21" s="49"/>
      <c r="T21" s="49"/>
      <c r="U21" s="58"/>
    </row>
    <row r="22" s="52" customFormat="true" ht="15" hidden="false" customHeight="true" outlineLevel="0" collapsed="false">
      <c r="A22" s="69" t="s">
        <v>40</v>
      </c>
      <c r="B22" s="69"/>
      <c r="C22" s="69"/>
      <c r="D22" s="43" t="s">
        <v>36</v>
      </c>
      <c r="E22" s="38"/>
      <c r="F22" s="44"/>
      <c r="G22" s="53" t="s">
        <v>41</v>
      </c>
      <c r="H22" s="53"/>
      <c r="I22" s="53"/>
      <c r="J22" s="45"/>
      <c r="K22" s="43" t="s">
        <v>38</v>
      </c>
      <c r="L22" s="67"/>
      <c r="M22" s="46"/>
      <c r="N22" s="70"/>
      <c r="O22" s="71"/>
      <c r="P22" s="72"/>
      <c r="Q22" s="55"/>
      <c r="R22" s="68"/>
      <c r="S22" s="56"/>
      <c r="T22" s="56"/>
      <c r="U22" s="73"/>
    </row>
    <row r="23" s="52" customFormat="true" ht="15" hidden="false" customHeight="true" outlineLevel="0" collapsed="false">
      <c r="A23" s="42" t="s">
        <v>42</v>
      </c>
      <c r="B23" s="42"/>
      <c r="C23" s="42"/>
      <c r="D23" s="43" t="s">
        <v>36</v>
      </c>
      <c r="E23" s="67"/>
      <c r="F23" s="44"/>
      <c r="G23" s="53" t="s">
        <v>43</v>
      </c>
      <c r="H23" s="53"/>
      <c r="I23" s="53"/>
      <c r="J23" s="45"/>
      <c r="K23" s="43" t="s">
        <v>36</v>
      </c>
      <c r="L23" s="67"/>
      <c r="M23" s="46"/>
      <c r="N23" s="74"/>
      <c r="O23" s="74"/>
      <c r="P23" s="74"/>
      <c r="Q23" s="55"/>
      <c r="R23" s="56"/>
      <c r="S23" s="56"/>
      <c r="T23" s="56"/>
      <c r="U23" s="73"/>
    </row>
    <row r="24" s="76" customFormat="true" ht="15.75" hidden="false" customHeight="true" outlineLevel="0" collapsed="false">
      <c r="A24" s="42" t="s">
        <v>44</v>
      </c>
      <c r="B24" s="42"/>
      <c r="C24" s="42"/>
      <c r="D24" s="43" t="s">
        <v>36</v>
      </c>
      <c r="E24" s="38"/>
      <c r="F24" s="44"/>
      <c r="G24" s="53" t="s">
        <v>45</v>
      </c>
      <c r="H24" s="53"/>
      <c r="I24" s="53"/>
      <c r="J24" s="45"/>
      <c r="K24" s="43" t="s">
        <v>46</v>
      </c>
      <c r="L24" s="67"/>
      <c r="M24" s="46"/>
      <c r="N24" s="74"/>
      <c r="O24" s="74"/>
      <c r="P24" s="74"/>
      <c r="Q24" s="55"/>
      <c r="R24" s="68"/>
      <c r="S24" s="75"/>
      <c r="T24" s="56"/>
      <c r="U24" s="73"/>
    </row>
    <row r="25" s="76" customFormat="true" ht="15" hidden="false" customHeight="true" outlineLevel="0" collapsed="false">
      <c r="A25" s="42" t="s">
        <v>47</v>
      </c>
      <c r="B25" s="42"/>
      <c r="C25" s="42"/>
      <c r="D25" s="43" t="s">
        <v>16</v>
      </c>
      <c r="E25" s="38"/>
      <c r="F25" s="44"/>
      <c r="G25" s="45" t="s">
        <v>48</v>
      </c>
      <c r="H25" s="45"/>
      <c r="I25" s="45"/>
      <c r="J25" s="45"/>
      <c r="K25" s="43" t="s">
        <v>18</v>
      </c>
      <c r="L25" s="67"/>
      <c r="M25" s="46"/>
      <c r="N25" s="74"/>
      <c r="O25" s="74"/>
      <c r="P25" s="74"/>
      <c r="Q25" s="55"/>
      <c r="R25" s="56"/>
      <c r="S25" s="48"/>
      <c r="T25" s="56"/>
      <c r="U25" s="73"/>
    </row>
    <row r="26" s="76" customFormat="true" ht="15" hidden="false" customHeight="true" outlineLevel="0" collapsed="false">
      <c r="A26" s="42" t="s">
        <v>49</v>
      </c>
      <c r="B26" s="42"/>
      <c r="C26" s="42"/>
      <c r="D26" s="43" t="s">
        <v>16</v>
      </c>
      <c r="E26" s="38"/>
      <c r="F26" s="44"/>
      <c r="G26" s="45" t="s">
        <v>50</v>
      </c>
      <c r="H26" s="45"/>
      <c r="I26" s="45"/>
      <c r="J26" s="45"/>
      <c r="K26" s="43" t="s">
        <v>51</v>
      </c>
      <c r="L26" s="67"/>
      <c r="M26" s="77"/>
      <c r="N26" s="21"/>
      <c r="O26" s="21"/>
      <c r="P26" s="22"/>
      <c r="Q26" s="55"/>
      <c r="R26" s="56"/>
      <c r="S26" s="56"/>
      <c r="T26" s="56"/>
      <c r="U26" s="73"/>
    </row>
    <row r="27" s="76" customFormat="true" ht="15" hidden="false" customHeight="true" outlineLevel="0" collapsed="false">
      <c r="A27" s="78" t="s">
        <v>52</v>
      </c>
      <c r="B27" s="78"/>
      <c r="C27" s="78"/>
      <c r="D27" s="79" t="s">
        <v>16</v>
      </c>
      <c r="E27" s="38"/>
      <c r="F27" s="44"/>
      <c r="G27" s="61"/>
      <c r="H27" s="61"/>
      <c r="I27" s="61"/>
      <c r="J27" s="61"/>
      <c r="K27" s="79"/>
      <c r="L27" s="80"/>
      <c r="M27" s="81"/>
      <c r="N27" s="82"/>
      <c r="O27" s="83"/>
      <c r="P27" s="84"/>
      <c r="Q27" s="55"/>
      <c r="R27" s="68"/>
      <c r="S27" s="56"/>
      <c r="T27" s="73"/>
      <c r="U27" s="73"/>
    </row>
    <row r="28" s="76" customFormat="true" ht="18.75" hidden="false" customHeight="true" outlineLevel="0" collapsed="false">
      <c r="A28" s="85" t="s">
        <v>53</v>
      </c>
      <c r="B28" s="85"/>
      <c r="C28" s="85"/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55"/>
      <c r="R28" s="68"/>
      <c r="S28" s="56"/>
      <c r="T28" s="73"/>
      <c r="U28" s="58"/>
    </row>
    <row r="29" s="76" customFormat="true" ht="15.75" hidden="false" customHeight="true" outlineLevel="0" collapsed="false">
      <c r="A29" s="86" t="s">
        <v>54</v>
      </c>
      <c r="B29" s="86"/>
      <c r="C29" s="86"/>
      <c r="D29" s="87" t="s">
        <v>55</v>
      </c>
      <c r="E29" s="88" t="s">
        <v>18</v>
      </c>
      <c r="F29" s="88" t="s">
        <v>56</v>
      </c>
      <c r="G29" s="86" t="s">
        <v>57</v>
      </c>
      <c r="H29" s="86"/>
      <c r="I29" s="86" t="s">
        <v>58</v>
      </c>
      <c r="J29" s="86"/>
      <c r="K29" s="86"/>
      <c r="L29" s="86"/>
      <c r="M29" s="86"/>
      <c r="N29" s="86"/>
      <c r="O29" s="86"/>
      <c r="P29" s="8" t="s">
        <v>59</v>
      </c>
      <c r="Q29" s="55"/>
      <c r="R29" s="56"/>
      <c r="S29" s="89"/>
      <c r="T29" s="73"/>
      <c r="U29" s="58"/>
    </row>
    <row r="30" s="101" customFormat="true" ht="15" hidden="false" customHeight="true" outlineLevel="0" collapsed="false">
      <c r="A30" s="90"/>
      <c r="B30" s="90"/>
      <c r="C30" s="90"/>
      <c r="D30" s="91"/>
      <c r="E30" s="92"/>
      <c r="F30" s="93" t="e">
        <f aca="false">IF(D30="-","",(D30*E30*0.08)/$C$9)</f>
        <v>#DIV/0!</v>
      </c>
      <c r="G30" s="94" t="e">
        <f aca="false">IF(D30="-","",D30/($D$40/100))</f>
        <v>#DIV/0!</v>
      </c>
      <c r="H30" s="95" t="s">
        <v>57</v>
      </c>
      <c r="I30" s="96"/>
      <c r="J30" s="96"/>
      <c r="K30" s="96"/>
      <c r="L30" s="96"/>
      <c r="M30" s="96"/>
      <c r="N30" s="96"/>
      <c r="O30" s="96"/>
      <c r="P30" s="97" t="n">
        <f aca="false">IF(D30="-","",D30*$G$7)</f>
        <v>0</v>
      </c>
      <c r="Q30" s="98"/>
      <c r="R30" s="56"/>
      <c r="S30" s="56"/>
      <c r="T30" s="99"/>
      <c r="U30" s="100"/>
    </row>
    <row r="31" s="101" customFormat="true" ht="15" hidden="false" customHeight="true" outlineLevel="0" collapsed="false">
      <c r="A31" s="90"/>
      <c r="B31" s="90"/>
      <c r="C31" s="90"/>
      <c r="D31" s="102"/>
      <c r="E31" s="92"/>
      <c r="F31" s="93" t="e">
        <f aca="false">IF(D31="-","",(D31*E31*0.08)/$C$9)</f>
        <v>#DIV/0!</v>
      </c>
      <c r="G31" s="103" t="e">
        <f aca="false">IF(D31="-","",D31/($D$40/100))</f>
        <v>#DIV/0!</v>
      </c>
      <c r="H31" s="104" t="s">
        <v>57</v>
      </c>
      <c r="I31" s="96"/>
      <c r="J31" s="96"/>
      <c r="K31" s="96"/>
      <c r="L31" s="96"/>
      <c r="M31" s="96"/>
      <c r="N31" s="96"/>
      <c r="O31" s="96"/>
      <c r="P31" s="97" t="n">
        <f aca="false">IF(D31="-","",D31*$G$7)</f>
        <v>0</v>
      </c>
      <c r="Q31" s="98"/>
      <c r="R31" s="56"/>
      <c r="S31" s="56"/>
      <c r="T31" s="56"/>
      <c r="U31" s="100"/>
    </row>
    <row r="32" s="101" customFormat="true" ht="15" hidden="false" customHeight="true" outlineLevel="0" collapsed="false">
      <c r="A32" s="90"/>
      <c r="B32" s="90"/>
      <c r="C32" s="90"/>
      <c r="D32" s="102"/>
      <c r="E32" s="92"/>
      <c r="F32" s="93" t="e">
        <f aca="false">IF(D32="-","",(D32*E32*0.08)/$C$9)</f>
        <v>#DIV/0!</v>
      </c>
      <c r="G32" s="105" t="e">
        <f aca="false">IF(D32="-","",D32/($D$40/100))</f>
        <v>#DIV/0!</v>
      </c>
      <c r="H32" s="106" t="s">
        <v>57</v>
      </c>
      <c r="I32" s="96"/>
      <c r="J32" s="96"/>
      <c r="K32" s="96"/>
      <c r="L32" s="96"/>
      <c r="M32" s="96"/>
      <c r="N32" s="96"/>
      <c r="O32" s="96"/>
      <c r="P32" s="97" t="n">
        <f aca="false">IF(D32="-","",D32*$G$7)</f>
        <v>0</v>
      </c>
      <c r="Q32" s="98"/>
      <c r="R32" s="56"/>
      <c r="S32" s="56"/>
      <c r="T32" s="56"/>
      <c r="U32" s="100"/>
    </row>
    <row r="33" s="101" customFormat="true" ht="15" hidden="false" customHeight="true" outlineLevel="0" collapsed="false">
      <c r="A33" s="90"/>
      <c r="B33" s="90"/>
      <c r="C33" s="90"/>
      <c r="D33" s="102"/>
      <c r="E33" s="92"/>
      <c r="F33" s="93" t="e">
        <f aca="false">IF(D33="-","",(D33*E33*0.08)/$C$9)</f>
        <v>#DIV/0!</v>
      </c>
      <c r="G33" s="105" t="e">
        <f aca="false">IF(D33="-","",D33/($D$40/100))</f>
        <v>#DIV/0!</v>
      </c>
      <c r="H33" s="106" t="s">
        <v>57</v>
      </c>
      <c r="I33" s="96"/>
      <c r="J33" s="96"/>
      <c r="K33" s="96"/>
      <c r="L33" s="96"/>
      <c r="M33" s="96"/>
      <c r="N33" s="96"/>
      <c r="O33" s="96"/>
      <c r="P33" s="97" t="n">
        <f aca="false">IF(D33="-","",D33*$G$7)</f>
        <v>0</v>
      </c>
      <c r="Q33" s="98"/>
      <c r="R33" s="56"/>
      <c r="S33" s="56"/>
      <c r="T33" s="56"/>
      <c r="U33" s="100"/>
    </row>
    <row r="34" s="101" customFormat="true" ht="15" hidden="false" customHeight="true" outlineLevel="0" collapsed="false">
      <c r="A34" s="90"/>
      <c r="B34" s="90"/>
      <c r="C34" s="90"/>
      <c r="D34" s="102"/>
      <c r="E34" s="92"/>
      <c r="F34" s="93" t="e">
        <f aca="false">IF(D34="-","",(D34*E34*0.08)/$C$9)</f>
        <v>#DIV/0!</v>
      </c>
      <c r="G34" s="105" t="e">
        <f aca="false">IF(D34="-","",D34/($D$40/100))</f>
        <v>#DIV/0!</v>
      </c>
      <c r="H34" s="106" t="s">
        <v>57</v>
      </c>
      <c r="I34" s="96"/>
      <c r="J34" s="96"/>
      <c r="K34" s="96"/>
      <c r="L34" s="96"/>
      <c r="M34" s="96"/>
      <c r="N34" s="96"/>
      <c r="O34" s="96"/>
      <c r="P34" s="97" t="n">
        <f aca="false">IF(D34="-","",D34*$G$7)</f>
        <v>0</v>
      </c>
      <c r="Q34" s="98"/>
      <c r="R34" s="56"/>
      <c r="S34" s="56"/>
      <c r="T34" s="56"/>
      <c r="U34" s="100"/>
    </row>
    <row r="35" s="101" customFormat="true" ht="15" hidden="false" customHeight="true" outlineLevel="0" collapsed="false">
      <c r="A35" s="90"/>
      <c r="B35" s="90"/>
      <c r="C35" s="90"/>
      <c r="D35" s="107"/>
      <c r="E35" s="92"/>
      <c r="F35" s="93" t="e">
        <f aca="false">IF(D35="-","",(D35*E35*0.08)/$C$9)</f>
        <v>#DIV/0!</v>
      </c>
      <c r="G35" s="105" t="e">
        <f aca="false">IF(D35="-","",D35/($D$40/100))</f>
        <v>#DIV/0!</v>
      </c>
      <c r="H35" s="106" t="s">
        <v>57</v>
      </c>
      <c r="I35" s="96"/>
      <c r="J35" s="96"/>
      <c r="K35" s="96"/>
      <c r="L35" s="96"/>
      <c r="M35" s="96"/>
      <c r="N35" s="96"/>
      <c r="O35" s="96"/>
      <c r="P35" s="97" t="n">
        <f aca="false">IF(D35="-","",D35*$G$7)</f>
        <v>0</v>
      </c>
      <c r="Q35" s="98"/>
      <c r="R35" s="56"/>
      <c r="S35" s="56"/>
      <c r="T35" s="56"/>
      <c r="U35" s="100"/>
    </row>
    <row r="36" s="101" customFormat="true" ht="15" hidden="false" customHeight="true" outlineLevel="0" collapsed="false">
      <c r="A36" s="108"/>
      <c r="B36" s="108"/>
      <c r="C36" s="108"/>
      <c r="D36" s="107"/>
      <c r="E36" s="92"/>
      <c r="F36" s="93" t="e">
        <f aca="false">IF(D36="-","",(D36*E36*0.08)/$C$9)</f>
        <v>#DIV/0!</v>
      </c>
      <c r="G36" s="92" t="e">
        <f aca="false">IF(D36="-","",D36/($D$40/100))</f>
        <v>#DIV/0!</v>
      </c>
      <c r="H36" s="109" t="s">
        <v>57</v>
      </c>
      <c r="I36" s="96"/>
      <c r="J36" s="96"/>
      <c r="K36" s="96"/>
      <c r="L36" s="96"/>
      <c r="M36" s="96"/>
      <c r="N36" s="96"/>
      <c r="O36" s="96"/>
      <c r="P36" s="97" t="n">
        <f aca="false">IF(D36="-","",D36*$G$7)</f>
        <v>0</v>
      </c>
      <c r="Q36" s="98"/>
      <c r="R36" s="56"/>
      <c r="S36" s="56"/>
      <c r="T36" s="56"/>
      <c r="U36" s="100"/>
    </row>
    <row r="37" s="101" customFormat="true" ht="15" hidden="false" customHeight="true" outlineLevel="0" collapsed="false">
      <c r="A37" s="108"/>
      <c r="B37" s="108"/>
      <c r="C37" s="108"/>
      <c r="D37" s="107"/>
      <c r="E37" s="92"/>
      <c r="F37" s="93" t="e">
        <f aca="false">IF(D37="-","",(D37*E37*0.08)/$C$9)</f>
        <v>#DIV/0!</v>
      </c>
      <c r="G37" s="92" t="e">
        <f aca="false">IF(D37="-","",D37/($D$40/100))</f>
        <v>#DIV/0!</v>
      </c>
      <c r="H37" s="109" t="s">
        <v>57</v>
      </c>
      <c r="I37" s="96"/>
      <c r="J37" s="96"/>
      <c r="K37" s="96"/>
      <c r="L37" s="96"/>
      <c r="M37" s="96"/>
      <c r="N37" s="96"/>
      <c r="O37" s="96"/>
      <c r="P37" s="97" t="n">
        <f aca="false">IF(D37="-","",D37*$G$7)</f>
        <v>0</v>
      </c>
      <c r="Q37" s="98"/>
      <c r="R37" s="56"/>
      <c r="S37" s="56"/>
      <c r="T37" s="56"/>
      <c r="U37" s="100"/>
    </row>
    <row r="38" s="101" customFormat="true" ht="15" hidden="false" customHeight="true" outlineLevel="0" collapsed="false">
      <c r="A38" s="108"/>
      <c r="B38" s="108"/>
      <c r="C38" s="108"/>
      <c r="D38" s="107"/>
      <c r="E38" s="92"/>
      <c r="F38" s="93" t="e">
        <f aca="false">IF(D38="-","",(D38*E38*0.08)/$C$9)</f>
        <v>#DIV/0!</v>
      </c>
      <c r="G38" s="92" t="e">
        <f aca="false">IF(D38="-","",D38/($D$40/100))</f>
        <v>#DIV/0!</v>
      </c>
      <c r="H38" s="109" t="s">
        <v>57</v>
      </c>
      <c r="I38" s="96"/>
      <c r="J38" s="96"/>
      <c r="K38" s="96"/>
      <c r="L38" s="96"/>
      <c r="M38" s="96"/>
      <c r="N38" s="96"/>
      <c r="O38" s="96"/>
      <c r="P38" s="97" t="n">
        <f aca="false">IF(D38="-","",D38*$G$7)</f>
        <v>0</v>
      </c>
      <c r="Q38" s="98"/>
      <c r="R38" s="56"/>
      <c r="S38" s="56"/>
      <c r="T38" s="56"/>
      <c r="U38" s="100"/>
    </row>
    <row r="39" s="101" customFormat="true" ht="15" hidden="false" customHeight="true" outlineLevel="0" collapsed="false">
      <c r="A39" s="110"/>
      <c r="B39" s="110"/>
      <c r="C39" s="110"/>
      <c r="D39" s="111"/>
      <c r="E39" s="112"/>
      <c r="F39" s="93" t="e">
        <f aca="false">IF(D39="-","",(D39*E39*0.08)/$C$9)</f>
        <v>#DIV/0!</v>
      </c>
      <c r="G39" s="92" t="e">
        <f aca="false">IF(D39="-","",D39/($D$40/100))</f>
        <v>#DIV/0!</v>
      </c>
      <c r="H39" s="113" t="s">
        <v>57</v>
      </c>
      <c r="I39" s="114"/>
      <c r="J39" s="114"/>
      <c r="K39" s="114"/>
      <c r="L39" s="114"/>
      <c r="M39" s="114"/>
      <c r="N39" s="114"/>
      <c r="O39" s="114"/>
      <c r="P39" s="97" t="n">
        <f aca="false">IF(D39="-","",D39*$G$7)</f>
        <v>0</v>
      </c>
      <c r="Q39" s="98"/>
      <c r="R39" s="56"/>
      <c r="S39" s="56"/>
      <c r="T39" s="56"/>
      <c r="U39" s="100"/>
    </row>
    <row r="40" s="125" customFormat="true" ht="15" hidden="false" customHeight="true" outlineLevel="0" collapsed="false">
      <c r="A40" s="115" t="s">
        <v>60</v>
      </c>
      <c r="B40" s="115"/>
      <c r="C40" s="115"/>
      <c r="D40" s="116" t="n">
        <f aca="false">SUM(D30:D39)</f>
        <v>0</v>
      </c>
      <c r="E40" s="117"/>
      <c r="F40" s="118" t="e">
        <f aca="false">SUM(F30:F39)</f>
        <v>#DIV/0!</v>
      </c>
      <c r="G40" s="119" t="e">
        <f aca="false">SUM(G30:G39)</f>
        <v>#DIV/0!</v>
      </c>
      <c r="H40" s="120" t="s">
        <v>57</v>
      </c>
      <c r="I40" s="121" t="s">
        <v>61</v>
      </c>
      <c r="J40" s="121"/>
      <c r="K40" s="121"/>
      <c r="L40" s="121"/>
      <c r="M40" s="122" t="e">
        <f aca="false">F40+1.75</f>
        <v>#DIV/0!</v>
      </c>
      <c r="N40" s="123" t="s">
        <v>18</v>
      </c>
      <c r="O40" s="123"/>
      <c r="P40" s="124"/>
      <c r="Q40" s="55"/>
      <c r="R40" s="56"/>
      <c r="S40" s="56"/>
      <c r="T40" s="56"/>
      <c r="U40" s="100"/>
    </row>
    <row r="41" s="125" customFormat="true" ht="18.75" hidden="false" customHeight="true" outlineLevel="0" collapsed="false">
      <c r="A41" s="126" t="s">
        <v>62</v>
      </c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55"/>
      <c r="R41" s="56"/>
      <c r="S41" s="56"/>
      <c r="T41" s="56"/>
      <c r="U41" s="100"/>
    </row>
    <row r="42" s="125" customFormat="true" ht="15" hidden="false" customHeight="true" outlineLevel="0" collapsed="false">
      <c r="A42" s="127" t="s">
        <v>54</v>
      </c>
      <c r="B42" s="127"/>
      <c r="C42" s="127"/>
      <c r="D42" s="10" t="s">
        <v>63</v>
      </c>
      <c r="E42" s="10" t="s">
        <v>64</v>
      </c>
      <c r="F42" s="10"/>
      <c r="G42" s="128" t="s">
        <v>65</v>
      </c>
      <c r="H42" s="128"/>
      <c r="I42" s="129" t="s">
        <v>66</v>
      </c>
      <c r="J42" s="129"/>
      <c r="K42" s="130" t="s">
        <v>51</v>
      </c>
      <c r="L42" s="8" t="s">
        <v>58</v>
      </c>
      <c r="M42" s="8"/>
      <c r="N42" s="8"/>
      <c r="O42" s="8"/>
      <c r="P42" s="131" t="s">
        <v>67</v>
      </c>
      <c r="Q42" s="55"/>
      <c r="R42" s="56"/>
      <c r="S42" s="56"/>
      <c r="T42" s="56"/>
      <c r="U42" s="100"/>
    </row>
    <row r="43" s="140" customFormat="true" ht="15" hidden="false" customHeight="true" outlineLevel="0" collapsed="false">
      <c r="A43" s="132"/>
      <c r="B43" s="132"/>
      <c r="C43" s="132"/>
      <c r="D43" s="133"/>
      <c r="E43" s="134"/>
      <c r="F43" s="134"/>
      <c r="G43" s="135"/>
      <c r="H43" s="135"/>
      <c r="I43" s="136"/>
      <c r="J43" s="136"/>
      <c r="K43" s="137" t="str">
        <f aca="false">IFERROR(IF(E43="-","",(E43*1000)*(D43/100)*(I43/100)/(IF(Brouwen!$F$16*100="-",$C$9*100,Brouwen!$F$16*100))),"")</f>
        <v/>
      </c>
      <c r="L43" s="138"/>
      <c r="M43" s="138"/>
      <c r="N43" s="138"/>
      <c r="O43" s="138"/>
      <c r="P43" s="139" t="n">
        <f aca="false">IF(E43="-","",E43*$G$7)</f>
        <v>0</v>
      </c>
      <c r="Q43" s="55"/>
      <c r="R43" s="56"/>
      <c r="S43" s="56"/>
      <c r="T43" s="56"/>
      <c r="U43" s="100"/>
    </row>
    <row r="44" s="140" customFormat="true" ht="15" hidden="false" customHeight="true" outlineLevel="0" collapsed="false">
      <c r="A44" s="141"/>
      <c r="B44" s="141"/>
      <c r="C44" s="141"/>
      <c r="D44" s="142"/>
      <c r="E44" s="97"/>
      <c r="F44" s="97"/>
      <c r="G44" s="143"/>
      <c r="H44" s="143"/>
      <c r="I44" s="136"/>
      <c r="J44" s="136"/>
      <c r="K44" s="93" t="str">
        <f aca="false">IFERROR(IF(E44="-","",(E44*1000)*(D44/100)*(I44/100)/(IF(Brouwen!$F$16*100="-",$C$9*100,Brouwen!$F$16*100))),"")</f>
        <v/>
      </c>
      <c r="L44" s="138"/>
      <c r="M44" s="138"/>
      <c r="N44" s="138"/>
      <c r="O44" s="138"/>
      <c r="P44" s="139" t="n">
        <f aca="false">IF(E44="-","",E44*$G$7)</f>
        <v>0</v>
      </c>
      <c r="Q44" s="55"/>
      <c r="R44" s="56"/>
      <c r="S44" s="56"/>
      <c r="T44" s="56"/>
      <c r="U44" s="100"/>
    </row>
    <row r="45" s="140" customFormat="true" ht="15" hidden="false" customHeight="true" outlineLevel="0" collapsed="false">
      <c r="A45" s="144"/>
      <c r="B45" s="144"/>
      <c r="C45" s="144"/>
      <c r="D45" s="145"/>
      <c r="E45" s="146"/>
      <c r="F45" s="146"/>
      <c r="G45" s="147"/>
      <c r="H45" s="147"/>
      <c r="I45" s="148"/>
      <c r="J45" s="148"/>
      <c r="K45" s="149" t="str">
        <f aca="false">IFERROR(IF(E45="-","",(E45*1000)*(D45/100)*(I45/100)/(IF(Brouwen!$F$16*100="-",$C$9*100,Brouwen!$F$16*100))),"")</f>
        <v/>
      </c>
      <c r="L45" s="150"/>
      <c r="M45" s="150"/>
      <c r="N45" s="150"/>
      <c r="O45" s="150"/>
      <c r="P45" s="151" t="n">
        <f aca="false">IF(E45="-","",E45*$G$7)</f>
        <v>0</v>
      </c>
      <c r="Q45" s="55"/>
      <c r="R45" s="56"/>
      <c r="S45" s="56"/>
      <c r="T45" s="56"/>
      <c r="U45" s="100"/>
    </row>
    <row r="46" s="140" customFormat="true" ht="15" hidden="false" customHeight="true" outlineLevel="0" collapsed="false">
      <c r="A46" s="152"/>
      <c r="B46" s="152"/>
      <c r="C46" s="152"/>
      <c r="D46" s="133"/>
      <c r="E46" s="134"/>
      <c r="F46" s="134"/>
      <c r="G46" s="153"/>
      <c r="H46" s="153"/>
      <c r="I46" s="154"/>
      <c r="J46" s="154"/>
      <c r="K46" s="155" t="str">
        <f aca="false">IFERROR(IF(E46="-","",(E46*1000)*(D46/100)*(I46/100)/(IF(Brouwen!$F$16*100="-",$C$9*100,Brouwen!$F$16*100))),"")</f>
        <v/>
      </c>
      <c r="L46" s="156"/>
      <c r="M46" s="156"/>
      <c r="N46" s="156"/>
      <c r="O46" s="156"/>
      <c r="P46" s="139" t="n">
        <f aca="false">IF(E46="-","",E46*$G$7)</f>
        <v>0</v>
      </c>
      <c r="Q46" s="55"/>
      <c r="R46" s="56"/>
      <c r="S46" s="56"/>
      <c r="T46" s="56"/>
      <c r="U46" s="100"/>
    </row>
    <row r="47" s="140" customFormat="true" ht="15" hidden="false" customHeight="true" outlineLevel="0" collapsed="false">
      <c r="A47" s="141"/>
      <c r="B47" s="141"/>
      <c r="C47" s="141"/>
      <c r="D47" s="142"/>
      <c r="E47" s="97"/>
      <c r="F47" s="97"/>
      <c r="G47" s="143"/>
      <c r="H47" s="143"/>
      <c r="I47" s="136"/>
      <c r="J47" s="136"/>
      <c r="K47" s="93" t="str">
        <f aca="false">IFERROR(IF(E47="-","",(E47*1000)*(D47/100)*(I47/100)/(IF(Brouwen!$F$16*100="-",$C$9*100,Brouwen!$F$16*100))),"")</f>
        <v/>
      </c>
      <c r="L47" s="138"/>
      <c r="M47" s="138"/>
      <c r="N47" s="138"/>
      <c r="O47" s="138"/>
      <c r="P47" s="139" t="n">
        <f aca="false">IF(E47="-","",E47*$G$7)</f>
        <v>0</v>
      </c>
      <c r="Q47" s="55"/>
      <c r="R47" s="56"/>
      <c r="S47" s="56"/>
      <c r="T47" s="56"/>
      <c r="U47" s="100"/>
    </row>
    <row r="48" s="140" customFormat="true" ht="15" hidden="false" customHeight="true" outlineLevel="0" collapsed="false">
      <c r="A48" s="144"/>
      <c r="B48" s="144"/>
      <c r="C48" s="144"/>
      <c r="D48" s="145"/>
      <c r="E48" s="146"/>
      <c r="F48" s="146"/>
      <c r="G48" s="147"/>
      <c r="H48" s="147"/>
      <c r="I48" s="148"/>
      <c r="J48" s="148"/>
      <c r="K48" s="149" t="str">
        <f aca="false">IFERROR(IF(E48="-","",(E48*1000)*(D48/100)*(I48/100)/(IF(Brouwen!$F$16*100="-",$C$9*100,Brouwen!$F$16*100))),"")</f>
        <v/>
      </c>
      <c r="L48" s="150"/>
      <c r="M48" s="150"/>
      <c r="N48" s="150"/>
      <c r="O48" s="150"/>
      <c r="P48" s="151" t="n">
        <f aca="false">IF(E48="-","",E48*$G$7)</f>
        <v>0</v>
      </c>
      <c r="Q48" s="55"/>
      <c r="R48" s="56"/>
      <c r="S48" s="56"/>
      <c r="T48" s="56"/>
      <c r="U48" s="100"/>
    </row>
    <row r="49" s="140" customFormat="true" ht="15" hidden="false" customHeight="true" outlineLevel="0" collapsed="false">
      <c r="A49" s="152"/>
      <c r="B49" s="152"/>
      <c r="C49" s="152"/>
      <c r="D49" s="133"/>
      <c r="E49" s="134"/>
      <c r="F49" s="134"/>
      <c r="G49" s="153"/>
      <c r="H49" s="153"/>
      <c r="I49" s="154"/>
      <c r="J49" s="154"/>
      <c r="K49" s="155" t="str">
        <f aca="false">IFERROR(IF(E49="-","",(E49*1000)*(D49/100)*(I49/100)/(IF(Brouwen!$F$16*100="-",$C$9*100,Brouwen!$F$16*100))),"")</f>
        <v/>
      </c>
      <c r="L49" s="156"/>
      <c r="M49" s="156"/>
      <c r="N49" s="156"/>
      <c r="O49" s="156"/>
      <c r="P49" s="139" t="n">
        <f aca="false">IF(E49="-","",E49*$G$7)</f>
        <v>0</v>
      </c>
      <c r="Q49" s="55"/>
      <c r="R49" s="56"/>
      <c r="S49" s="56"/>
      <c r="T49" s="56"/>
      <c r="U49" s="100"/>
    </row>
    <row r="50" s="140" customFormat="true" ht="15" hidden="false" customHeight="true" outlineLevel="0" collapsed="false">
      <c r="A50" s="141"/>
      <c r="B50" s="141"/>
      <c r="C50" s="141"/>
      <c r="D50" s="142"/>
      <c r="E50" s="97"/>
      <c r="F50" s="97"/>
      <c r="G50" s="143"/>
      <c r="H50" s="143"/>
      <c r="I50" s="136"/>
      <c r="J50" s="136"/>
      <c r="K50" s="93" t="str">
        <f aca="false">IFERROR(IF(E50="-","",(E50*1000)*(D50/100)*(I50/100)/(IF(Brouwen!$F$16*100="-",$C$9*100,Brouwen!$F$16*100))),"")</f>
        <v/>
      </c>
      <c r="L50" s="138"/>
      <c r="M50" s="138"/>
      <c r="N50" s="138"/>
      <c r="O50" s="138"/>
      <c r="P50" s="139" t="n">
        <f aca="false">IF(E50="-","",E50*$G$7)</f>
        <v>0</v>
      </c>
      <c r="Q50" s="55"/>
      <c r="R50" s="56"/>
      <c r="S50" s="56"/>
      <c r="T50" s="56"/>
      <c r="U50" s="100"/>
    </row>
    <row r="51" s="140" customFormat="true" ht="15" hidden="false" customHeight="true" outlineLevel="0" collapsed="false">
      <c r="A51" s="144"/>
      <c r="B51" s="144"/>
      <c r="C51" s="144"/>
      <c r="D51" s="145"/>
      <c r="E51" s="146"/>
      <c r="F51" s="146"/>
      <c r="G51" s="147"/>
      <c r="H51" s="147"/>
      <c r="I51" s="148"/>
      <c r="J51" s="148"/>
      <c r="K51" s="149" t="str">
        <f aca="false">IFERROR(IF(E51="-","",(E51*1000)*(D51/100)*(I51/100)/(IF(Brouwen!$F$16*100="-",$C$9*100,Brouwen!$F$16*100))),"")</f>
        <v/>
      </c>
      <c r="L51" s="150"/>
      <c r="M51" s="150"/>
      <c r="N51" s="150"/>
      <c r="O51" s="150"/>
      <c r="P51" s="151" t="n">
        <f aca="false">IF(E51="-","",E51*$G$7)</f>
        <v>0</v>
      </c>
      <c r="Q51" s="55"/>
      <c r="R51" s="56"/>
      <c r="S51" s="56"/>
      <c r="T51" s="56"/>
      <c r="U51" s="100"/>
    </row>
    <row r="52" s="140" customFormat="true" ht="15" hidden="false" customHeight="true" outlineLevel="0" collapsed="false">
      <c r="A52" s="152"/>
      <c r="B52" s="152"/>
      <c r="C52" s="152"/>
      <c r="D52" s="133"/>
      <c r="E52" s="157"/>
      <c r="F52" s="157"/>
      <c r="G52" s="153"/>
      <c r="H52" s="153"/>
      <c r="I52" s="154"/>
      <c r="J52" s="154"/>
      <c r="K52" s="155" t="str">
        <f aca="false">IFERROR(IF(E52="-","",(E52*1000)*(D52/100)*(I52/100)/(IF(Brouwen!$F$16*100="-",$C$9*100,Brouwen!$F$16*100))),"")</f>
        <v/>
      </c>
      <c r="L52" s="156"/>
      <c r="M52" s="156"/>
      <c r="N52" s="156"/>
      <c r="O52" s="156"/>
      <c r="P52" s="139" t="n">
        <f aca="false">IF(E52="-","",E52*$G$7)</f>
        <v>0</v>
      </c>
      <c r="Q52" s="55"/>
      <c r="R52" s="56"/>
      <c r="S52" s="56"/>
      <c r="T52" s="56"/>
      <c r="U52" s="100"/>
    </row>
    <row r="53" s="140" customFormat="true" ht="15" hidden="false" customHeight="true" outlineLevel="0" collapsed="false">
      <c r="A53" s="141"/>
      <c r="B53" s="141"/>
      <c r="C53" s="141"/>
      <c r="D53" s="142"/>
      <c r="E53" s="158"/>
      <c r="F53" s="158"/>
      <c r="G53" s="143"/>
      <c r="H53" s="143"/>
      <c r="I53" s="136"/>
      <c r="J53" s="136"/>
      <c r="K53" s="93" t="str">
        <f aca="false">IFERROR(IF(E53="-","",(E53*1000)*(D53/100)*(I53/100)/(IF(Brouwen!$F$16*100="-",$C$9*100,Brouwen!$F$16*100))),"")</f>
        <v/>
      </c>
      <c r="L53" s="138"/>
      <c r="M53" s="138"/>
      <c r="N53" s="138"/>
      <c r="O53" s="138"/>
      <c r="P53" s="139" t="n">
        <f aca="false">IF(E53="-","",E53*$G$7)</f>
        <v>0</v>
      </c>
      <c r="Q53" s="55"/>
      <c r="R53" s="56"/>
      <c r="S53" s="56"/>
      <c r="T53" s="56"/>
      <c r="U53" s="100"/>
    </row>
    <row r="54" s="140" customFormat="true" ht="15" hidden="false" customHeight="true" outlineLevel="0" collapsed="false">
      <c r="A54" s="141"/>
      <c r="B54" s="141"/>
      <c r="C54" s="141"/>
      <c r="D54" s="142"/>
      <c r="E54" s="158"/>
      <c r="F54" s="158"/>
      <c r="G54" s="143"/>
      <c r="H54" s="143"/>
      <c r="I54" s="136"/>
      <c r="J54" s="136"/>
      <c r="K54" s="93" t="str">
        <f aca="false">IFERROR(IF(E54="-","",(E54*1000)*(D54/100)*(I54/100)/(IF(Brouwen!$F$16*100="-",$C$9*100,Brouwen!$F$16*100))),"")</f>
        <v/>
      </c>
      <c r="L54" s="138"/>
      <c r="M54" s="138"/>
      <c r="N54" s="138"/>
      <c r="O54" s="138"/>
      <c r="P54" s="139" t="n">
        <f aca="false">IF(E54="-","",E54*$G$7)</f>
        <v>0</v>
      </c>
      <c r="Q54" s="55"/>
      <c r="R54" s="56"/>
      <c r="S54" s="56"/>
      <c r="T54" s="56"/>
      <c r="U54" s="100"/>
    </row>
    <row r="55" s="140" customFormat="true" ht="15" hidden="false" customHeight="true" outlineLevel="0" collapsed="false">
      <c r="A55" s="152"/>
      <c r="B55" s="152"/>
      <c r="C55" s="152"/>
      <c r="D55" s="133"/>
      <c r="E55" s="157"/>
      <c r="F55" s="157"/>
      <c r="G55" s="153"/>
      <c r="H55" s="153"/>
      <c r="I55" s="154"/>
      <c r="J55" s="154"/>
      <c r="K55" s="155" t="str">
        <f aca="false">IFERROR(IF(E55="-","",(E55*1000)*(D55/100)*(I55/100)/(IF(Brouwen!$F$16*100="-",$C$9*100,Brouwen!$F$16*100))),"")</f>
        <v/>
      </c>
      <c r="L55" s="156"/>
      <c r="M55" s="156"/>
      <c r="N55" s="156"/>
      <c r="O55" s="156"/>
      <c r="P55" s="139" t="n">
        <f aca="false">IF(E55="-","",E55*$G$7)</f>
        <v>0</v>
      </c>
      <c r="Q55" s="55"/>
      <c r="R55" s="56"/>
      <c r="S55" s="56"/>
      <c r="T55" s="56"/>
      <c r="U55" s="100"/>
    </row>
    <row r="56" s="140" customFormat="true" ht="15" hidden="false" customHeight="true" outlineLevel="0" collapsed="false">
      <c r="A56" s="141"/>
      <c r="B56" s="141"/>
      <c r="C56" s="141"/>
      <c r="D56" s="142"/>
      <c r="E56" s="158"/>
      <c r="F56" s="158"/>
      <c r="G56" s="143"/>
      <c r="H56" s="143"/>
      <c r="I56" s="136"/>
      <c r="J56" s="136"/>
      <c r="K56" s="93" t="str">
        <f aca="false">IFERROR(IF(E56="-","",(E56*1000)*(D56/100)*(I56/100)/(IF(Brouwen!$F$16*100="-",$C$9*100,Brouwen!$F$16*100))),"")</f>
        <v/>
      </c>
      <c r="L56" s="138"/>
      <c r="M56" s="138"/>
      <c r="N56" s="138"/>
      <c r="O56" s="138"/>
      <c r="P56" s="139" t="n">
        <f aca="false">IF(E56="-","",E56*$G$7)</f>
        <v>0</v>
      </c>
      <c r="Q56" s="55"/>
      <c r="R56" s="56"/>
      <c r="S56" s="56"/>
      <c r="T56" s="56"/>
      <c r="U56" s="100"/>
    </row>
    <row r="57" s="140" customFormat="true" ht="15" hidden="false" customHeight="true" outlineLevel="0" collapsed="false">
      <c r="A57" s="144"/>
      <c r="B57" s="144"/>
      <c r="C57" s="144"/>
      <c r="D57" s="145"/>
      <c r="E57" s="159"/>
      <c r="F57" s="159"/>
      <c r="G57" s="160"/>
      <c r="H57" s="160"/>
      <c r="I57" s="148"/>
      <c r="J57" s="148"/>
      <c r="K57" s="149" t="str">
        <f aca="false">IFERROR(IF(E57="-","",(E57*1000)*(D57/100)*(I57/100)/(IF(Brouwen!$F$16*100="-",$C$9*100,Brouwen!$F$16*100))),"")</f>
        <v/>
      </c>
      <c r="L57" s="150"/>
      <c r="M57" s="150"/>
      <c r="N57" s="150"/>
      <c r="O57" s="150"/>
      <c r="P57" s="151" t="n">
        <f aca="false">IF(E57="-","",E57*$G$7)</f>
        <v>0</v>
      </c>
      <c r="Q57" s="55"/>
      <c r="R57" s="56"/>
      <c r="S57" s="56"/>
      <c r="T57" s="56"/>
      <c r="U57" s="100"/>
    </row>
    <row r="58" s="140" customFormat="true" ht="15" hidden="false" customHeight="true" outlineLevel="0" collapsed="false">
      <c r="A58" s="152"/>
      <c r="B58" s="152"/>
      <c r="C58" s="152"/>
      <c r="D58" s="152"/>
      <c r="E58" s="161"/>
      <c r="F58" s="161"/>
      <c r="G58" s="162"/>
      <c r="H58" s="162"/>
      <c r="I58" s="162"/>
      <c r="J58" s="163" t="e">
        <f aca="false">IF(G58="warm",SUMIF(G58:I60,"warm",E58:F60)/($C$9*100),SUMIF(G58:I60,"16C",E58:F60)/($C$9*100))</f>
        <v>#DIV/0!</v>
      </c>
      <c r="K58" s="8" t="s">
        <v>21</v>
      </c>
      <c r="L58" s="156"/>
      <c r="M58" s="156"/>
      <c r="N58" s="156"/>
      <c r="O58" s="156"/>
      <c r="P58" s="139" t="n">
        <f aca="false">IF(E58="-","",E58*$G$7)</f>
        <v>0</v>
      </c>
      <c r="Q58" s="55"/>
      <c r="R58" s="56"/>
      <c r="S58" s="56"/>
      <c r="T58" s="56"/>
      <c r="U58" s="100"/>
    </row>
    <row r="59" s="140" customFormat="true" ht="15" hidden="false" customHeight="true" outlineLevel="0" collapsed="false">
      <c r="A59" s="152"/>
      <c r="B59" s="152"/>
      <c r="C59" s="152"/>
      <c r="D59" s="152"/>
      <c r="E59" s="161"/>
      <c r="F59" s="161"/>
      <c r="G59" s="162"/>
      <c r="H59" s="162"/>
      <c r="I59" s="162"/>
      <c r="J59" s="163"/>
      <c r="K59" s="8"/>
      <c r="L59" s="156"/>
      <c r="M59" s="156"/>
      <c r="N59" s="156"/>
      <c r="O59" s="156"/>
      <c r="P59" s="139" t="n">
        <f aca="false">IF(E59="-","",E59*$G$7)</f>
        <v>0</v>
      </c>
      <c r="Q59" s="55"/>
      <c r="R59" s="56"/>
      <c r="S59" s="56"/>
      <c r="T59" s="56"/>
      <c r="U59" s="100"/>
    </row>
    <row r="60" s="140" customFormat="true" ht="15" hidden="false" customHeight="true" outlineLevel="0" collapsed="false">
      <c r="A60" s="164"/>
      <c r="B60" s="164"/>
      <c r="C60" s="164"/>
      <c r="D60" s="164"/>
      <c r="E60" s="165"/>
      <c r="F60" s="165"/>
      <c r="G60" s="88"/>
      <c r="H60" s="88"/>
      <c r="I60" s="88"/>
      <c r="J60" s="166"/>
      <c r="K60" s="8"/>
      <c r="L60" s="150"/>
      <c r="M60" s="150"/>
      <c r="N60" s="150"/>
      <c r="O60" s="150"/>
      <c r="P60" s="151" t="n">
        <f aca="false">IF(E60="-","",E60*$G$7)</f>
        <v>0</v>
      </c>
      <c r="Q60" s="55"/>
      <c r="R60" s="56"/>
      <c r="S60" s="167"/>
      <c r="T60" s="56"/>
      <c r="U60" s="100"/>
    </row>
    <row r="61" s="140" customFormat="true" ht="15" hidden="false" customHeight="true" outlineLevel="0" collapsed="false">
      <c r="A61" s="152"/>
      <c r="B61" s="152"/>
      <c r="C61" s="152"/>
      <c r="D61" s="152"/>
      <c r="E61" s="161"/>
      <c r="F61" s="161"/>
      <c r="G61" s="162"/>
      <c r="H61" s="162"/>
      <c r="I61" s="162"/>
      <c r="J61" s="163" t="e">
        <f aca="false">IF(G61="warm",SUMIF(G61:I63,"warm",E61:F63)/($C$9*100),SUMIF(G61:I63,"16C",E61:F63)/($C$9*100))</f>
        <v>#DIV/0!</v>
      </c>
      <c r="K61" s="8"/>
      <c r="L61" s="156"/>
      <c r="M61" s="156"/>
      <c r="N61" s="156"/>
      <c r="O61" s="156"/>
      <c r="P61" s="139" t="n">
        <f aca="false">IF(E61="-","",E61*$G$7)</f>
        <v>0</v>
      </c>
      <c r="Q61" s="55"/>
      <c r="R61" s="56"/>
      <c r="S61" s="56"/>
      <c r="T61" s="56"/>
      <c r="U61" s="100"/>
    </row>
    <row r="62" s="140" customFormat="true" ht="15" hidden="false" customHeight="true" outlineLevel="0" collapsed="false">
      <c r="A62" s="152"/>
      <c r="B62" s="152"/>
      <c r="C62" s="152"/>
      <c r="D62" s="152"/>
      <c r="E62" s="161"/>
      <c r="F62" s="161"/>
      <c r="G62" s="162"/>
      <c r="H62" s="162"/>
      <c r="I62" s="162"/>
      <c r="J62" s="168"/>
      <c r="K62" s="8"/>
      <c r="L62" s="156"/>
      <c r="M62" s="156"/>
      <c r="N62" s="156"/>
      <c r="O62" s="156"/>
      <c r="P62" s="139" t="n">
        <f aca="false">IF(E62="-","",E62*$G$7)</f>
        <v>0</v>
      </c>
      <c r="Q62" s="55"/>
      <c r="R62" s="56"/>
      <c r="S62" s="56"/>
      <c r="T62" s="56"/>
      <c r="U62" s="100"/>
    </row>
    <row r="63" s="140" customFormat="true" ht="15" hidden="false" customHeight="true" outlineLevel="0" collapsed="false">
      <c r="A63" s="144"/>
      <c r="B63" s="144"/>
      <c r="C63" s="144"/>
      <c r="D63" s="144"/>
      <c r="E63" s="169"/>
      <c r="F63" s="169"/>
      <c r="G63" s="162"/>
      <c r="H63" s="162"/>
      <c r="I63" s="162"/>
      <c r="J63" s="168"/>
      <c r="K63" s="8"/>
      <c r="L63" s="150"/>
      <c r="M63" s="150"/>
      <c r="N63" s="150"/>
      <c r="O63" s="150"/>
      <c r="P63" s="139" t="n">
        <f aca="false">IF(E63="-","",E63*$G$7)</f>
        <v>0</v>
      </c>
      <c r="Q63" s="170"/>
      <c r="R63" s="170"/>
      <c r="S63" s="56"/>
      <c r="T63" s="56"/>
      <c r="U63" s="100"/>
    </row>
    <row r="64" s="140" customFormat="true" ht="15" hidden="false" customHeight="true" outlineLevel="0" collapsed="false">
      <c r="A64" s="171" t="s">
        <v>8</v>
      </c>
      <c r="B64" s="171"/>
      <c r="C64" s="171"/>
      <c r="D64" s="171"/>
      <c r="E64" s="172"/>
      <c r="F64" s="172"/>
      <c r="G64" s="173" t="s">
        <v>68</v>
      </c>
      <c r="H64" s="173"/>
      <c r="I64" s="173"/>
      <c r="J64" s="173"/>
      <c r="K64" s="174" t="n">
        <f aca="false">ROUND(SUM(K43:K63),1)</f>
        <v>0</v>
      </c>
      <c r="L64" s="175" t="s">
        <v>26</v>
      </c>
      <c r="M64" s="176" t="s">
        <v>69</v>
      </c>
      <c r="N64" s="176"/>
      <c r="O64" s="176"/>
      <c r="P64" s="177" t="n">
        <f aca="false">SUM(P43:P63)/1000</f>
        <v>0</v>
      </c>
      <c r="Q64" s="178"/>
      <c r="R64" s="179"/>
      <c r="S64" s="56"/>
      <c r="T64" s="56"/>
      <c r="U64" s="100"/>
    </row>
    <row r="65" s="140" customFormat="true" ht="15.75" hidden="false" customHeight="true" outlineLevel="0" collapsed="false">
      <c r="A65" s="180" t="s">
        <v>70</v>
      </c>
      <c r="B65" s="180"/>
      <c r="C65" s="180"/>
      <c r="D65" s="180"/>
      <c r="E65" s="180"/>
      <c r="F65" s="180"/>
      <c r="G65" s="180"/>
      <c r="H65" s="180"/>
      <c r="I65" s="180"/>
      <c r="J65" s="180"/>
      <c r="K65" s="180"/>
      <c r="L65" s="180"/>
      <c r="M65" s="180"/>
      <c r="N65" s="180"/>
      <c r="O65" s="180"/>
      <c r="P65" s="180"/>
      <c r="Q65" s="55"/>
      <c r="R65" s="56"/>
      <c r="S65" s="56"/>
      <c r="T65" s="56"/>
      <c r="U65" s="100"/>
    </row>
    <row r="66" s="140" customFormat="true" ht="15" hidden="false" customHeight="true" outlineLevel="0" collapsed="false">
      <c r="A66" s="181" t="s">
        <v>71</v>
      </c>
      <c r="B66" s="181"/>
      <c r="C66" s="181"/>
      <c r="D66" s="181"/>
      <c r="E66" s="181" t="s">
        <v>72</v>
      </c>
      <c r="F66" s="181"/>
      <c r="G66" s="181"/>
      <c r="H66" s="181"/>
      <c r="I66" s="181" t="s">
        <v>71</v>
      </c>
      <c r="J66" s="181"/>
      <c r="K66" s="181"/>
      <c r="L66" s="181"/>
      <c r="M66" s="181" t="s">
        <v>72</v>
      </c>
      <c r="N66" s="181"/>
      <c r="O66" s="181"/>
      <c r="P66" s="181"/>
      <c r="Q66" s="55"/>
      <c r="R66" s="56"/>
      <c r="S66" s="56"/>
      <c r="T66" s="56"/>
      <c r="U66" s="100"/>
    </row>
    <row r="67" s="140" customFormat="true" ht="15" hidden="false" customHeight="true" outlineLevel="0" collapsed="false">
      <c r="A67" s="182" t="n">
        <f aca="false">IFERROR(INDEX(A$43:A$63,MATCH(FALSE(),ISNUMBER(MATCH(A$43:A$63,A64:A66,0)),0)),"")</f>
        <v>0</v>
      </c>
      <c r="B67" s="183"/>
      <c r="C67" s="183"/>
      <c r="D67" s="184"/>
      <c r="E67" s="185" t="str">
        <f aca="false">IF(A67="","",SUMIF($A$43:$A$63,A67,$P$43:$P$63))</f>
        <v/>
      </c>
      <c r="F67" s="185"/>
      <c r="G67" s="185"/>
      <c r="H67" s="185"/>
      <c r="I67" s="186" t="n">
        <f aca="false">IFERROR(INDEX(A$45:A$63,MATCH(FALSE(),ISNUMBER(MATCH(A$45:A$63,R66:R70,0)),0)),"")</f>
        <v>0</v>
      </c>
      <c r="J67" s="186"/>
      <c r="K67" s="186"/>
      <c r="L67" s="186"/>
      <c r="M67" s="151" t="str">
        <f aca="false">IF(I67="","",SUMIF($A$43:$A$63,I67,$P$43:$P$63))</f>
        <v/>
      </c>
      <c r="N67" s="151"/>
      <c r="O67" s="151"/>
      <c r="P67" s="151"/>
      <c r="Q67" s="55"/>
      <c r="R67" s="56"/>
      <c r="S67" s="56"/>
      <c r="T67" s="56"/>
      <c r="U67" s="100"/>
    </row>
    <row r="68" s="140" customFormat="true" ht="15" hidden="false" customHeight="true" outlineLevel="0" collapsed="false">
      <c r="A68" s="187" t="n">
        <f aca="false">IFERROR(INDEX(A$44:A$63,MATCH(FALSE(),ISNUMBER(MATCH(A$44:A$63,$A$64:A67,0)),0)),"")</f>
        <v>0</v>
      </c>
      <c r="B68" s="187"/>
      <c r="C68" s="187"/>
      <c r="D68" s="187"/>
      <c r="E68" s="139" t="str">
        <f aca="false">IF(A68="","",SUMIF($A$43:$A$64,A68,$P$43:$P$64))</f>
        <v/>
      </c>
      <c r="F68" s="139"/>
      <c r="G68" s="139"/>
      <c r="H68" s="139"/>
      <c r="I68" s="187" t="n">
        <f aca="false">IFERROR(INDEX(A$45:A$63,MATCH(FALSE(),ISNUMBER(MATCH(A$45:A$63,R66:R71,0)),0)),"")</f>
        <v>0</v>
      </c>
      <c r="J68" s="187"/>
      <c r="K68" s="187"/>
      <c r="L68" s="187"/>
      <c r="M68" s="139" t="str">
        <f aca="false">IF(I68="","",SUMIF($A$43:$A$63,I68,$P$43:$P$63))</f>
        <v/>
      </c>
      <c r="N68" s="139"/>
      <c r="O68" s="139"/>
      <c r="P68" s="139"/>
      <c r="Q68" s="55"/>
      <c r="R68" s="56"/>
      <c r="S68" s="56"/>
      <c r="T68" s="56"/>
      <c r="U68" s="100"/>
    </row>
    <row r="69" s="140" customFormat="true" ht="15" hidden="false" customHeight="true" outlineLevel="0" collapsed="false">
      <c r="A69" s="187" t="n">
        <f aca="false">IFERROR(INDEX(A$45:A$63,MATCH(FALSE(),ISNUMBER(MATCH(A$45:A$63,$A$64:A68,0)),0)),"")</f>
        <v>0</v>
      </c>
      <c r="B69" s="187"/>
      <c r="C69" s="187"/>
      <c r="D69" s="187"/>
      <c r="E69" s="139" t="str">
        <f aca="false">IF(A69="","",SUMIF($A$43:$A$63,A69,$P$43:$P$63))</f>
        <v/>
      </c>
      <c r="F69" s="139"/>
      <c r="G69" s="139"/>
      <c r="H69" s="139"/>
      <c r="I69" s="187" t="n">
        <f aca="false">IFERROR(INDEX(A$45:A$63,MATCH(FALSE(),ISNUMBER(MATCH(A$45:A$63,R66:R72,0)),0)),"")</f>
        <v>0</v>
      </c>
      <c r="J69" s="187"/>
      <c r="K69" s="187"/>
      <c r="L69" s="187"/>
      <c r="M69" s="139" t="str">
        <f aca="false">IF(I69="","",SUMIF($A$43:$A$63,I69,$P$43:$P$63))</f>
        <v/>
      </c>
      <c r="N69" s="139"/>
      <c r="O69" s="139"/>
      <c r="P69" s="139"/>
      <c r="Q69" s="55"/>
      <c r="R69" s="56"/>
      <c r="S69" s="56"/>
      <c r="T69" s="56"/>
      <c r="U69" s="100"/>
    </row>
    <row r="70" s="140" customFormat="true" ht="15" hidden="false" customHeight="true" outlineLevel="0" collapsed="false">
      <c r="A70" s="188" t="n">
        <f aca="false">IFERROR(INDEX(A$45:A$63,MATCH(FALSE(),ISNUMBER(MATCH(A$45:A$63,$A$64:A69,0)),0)),"")</f>
        <v>0</v>
      </c>
      <c r="B70" s="188"/>
      <c r="C70" s="188"/>
      <c r="D70" s="188"/>
      <c r="E70" s="151" t="str">
        <f aca="false">IF(A70="","",SUMIF($A$43:$A$63,A70,$P$43:$P$63))</f>
        <v/>
      </c>
      <c r="F70" s="151"/>
      <c r="G70" s="151"/>
      <c r="H70" s="151"/>
      <c r="I70" s="188" t="n">
        <f aca="false">IFERROR(INDEX(A$45:A$63,MATCH(FALSE(),ISNUMBER(MATCH(A$45:A$63,R66:R73,0)),0)),"")</f>
        <v>0</v>
      </c>
      <c r="J70" s="188"/>
      <c r="K70" s="188"/>
      <c r="L70" s="188"/>
      <c r="M70" s="151" t="str">
        <f aca="false">IF(I70="","",SUMIF($A$43:$A$63,I70,$P$43:$P$63))</f>
        <v/>
      </c>
      <c r="N70" s="151"/>
      <c r="O70" s="151"/>
      <c r="P70" s="151"/>
      <c r="Q70" s="55"/>
      <c r="R70" s="56"/>
      <c r="S70" s="56"/>
      <c r="T70" s="56"/>
      <c r="U70" s="100"/>
    </row>
    <row r="71" s="140" customFormat="true" ht="18.75" hidden="false" customHeight="true" outlineLevel="0" collapsed="false">
      <c r="A71" s="189" t="s">
        <v>73</v>
      </c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/>
      <c r="M71" s="189"/>
      <c r="N71" s="189"/>
      <c r="O71" s="189"/>
      <c r="P71" s="189"/>
      <c r="Q71" s="55"/>
      <c r="R71" s="56"/>
      <c r="S71" s="56"/>
      <c r="T71" s="56"/>
      <c r="U71" s="100"/>
    </row>
    <row r="72" s="140" customFormat="true" ht="15" hidden="false" customHeight="true" outlineLevel="0" collapsed="false">
      <c r="A72" s="190" t="s">
        <v>54</v>
      </c>
      <c r="B72" s="190"/>
      <c r="C72" s="190"/>
      <c r="D72" s="190"/>
      <c r="E72" s="191" t="s">
        <v>74</v>
      </c>
      <c r="F72" s="191"/>
      <c r="G72" s="191"/>
      <c r="H72" s="191"/>
      <c r="I72" s="192" t="s">
        <v>75</v>
      </c>
      <c r="J72" s="192"/>
      <c r="K72" s="192"/>
      <c r="L72" s="193" t="s">
        <v>58</v>
      </c>
      <c r="M72" s="193"/>
      <c r="N72" s="193"/>
      <c r="O72" s="193"/>
      <c r="P72" s="193"/>
      <c r="Q72" s="55"/>
      <c r="R72" s="56"/>
      <c r="S72" s="56"/>
      <c r="T72" s="56"/>
      <c r="U72" s="100"/>
    </row>
    <row r="73" s="140" customFormat="true" ht="17.25" hidden="false" customHeight="true" outlineLevel="0" collapsed="false">
      <c r="A73" s="194"/>
      <c r="B73" s="194"/>
      <c r="C73" s="194"/>
      <c r="D73" s="194"/>
      <c r="E73" s="195"/>
      <c r="F73" s="195"/>
      <c r="G73" s="195"/>
      <c r="H73" s="195"/>
      <c r="I73" s="196"/>
      <c r="J73" s="196"/>
      <c r="K73" s="196"/>
      <c r="L73" s="197"/>
      <c r="M73" s="197"/>
      <c r="N73" s="197"/>
      <c r="O73" s="197"/>
      <c r="P73" s="197"/>
      <c r="Q73" s="55"/>
      <c r="R73" s="56"/>
      <c r="S73" s="56"/>
      <c r="T73" s="56"/>
      <c r="U73" s="100"/>
    </row>
    <row r="74" s="140" customFormat="true" ht="15" hidden="false" customHeight="true" outlineLevel="0" collapsed="false">
      <c r="A74" s="194"/>
      <c r="B74" s="194"/>
      <c r="C74" s="194"/>
      <c r="D74" s="194"/>
      <c r="E74" s="198"/>
      <c r="F74" s="198"/>
      <c r="G74" s="198"/>
      <c r="H74" s="198"/>
      <c r="I74" s="194"/>
      <c r="J74" s="194"/>
      <c r="K74" s="194"/>
      <c r="L74" s="197"/>
      <c r="M74" s="197"/>
      <c r="N74" s="197"/>
      <c r="O74" s="197"/>
      <c r="P74" s="197"/>
      <c r="Q74" s="55"/>
      <c r="R74" s="56"/>
      <c r="S74" s="56"/>
      <c r="T74" s="56"/>
      <c r="U74" s="100"/>
    </row>
    <row r="75" s="140" customFormat="true" ht="15" hidden="false" customHeight="true" outlineLevel="0" collapsed="false">
      <c r="A75" s="194"/>
      <c r="B75" s="194"/>
      <c r="C75" s="194"/>
      <c r="D75" s="194"/>
      <c r="E75" s="198"/>
      <c r="F75" s="198"/>
      <c r="G75" s="198"/>
      <c r="H75" s="198"/>
      <c r="I75" s="194"/>
      <c r="J75" s="194"/>
      <c r="K75" s="194"/>
      <c r="L75" s="197"/>
      <c r="M75" s="197"/>
      <c r="N75" s="197"/>
      <c r="O75" s="197"/>
      <c r="P75" s="197"/>
      <c r="Q75" s="55"/>
      <c r="R75" s="56"/>
      <c r="S75" s="56"/>
      <c r="T75" s="56"/>
      <c r="U75" s="100"/>
    </row>
    <row r="76" s="140" customFormat="true" ht="15" hidden="false" customHeight="true" outlineLevel="0" collapsed="false">
      <c r="A76" s="194"/>
      <c r="B76" s="194"/>
      <c r="C76" s="194"/>
      <c r="D76" s="194"/>
      <c r="E76" s="198"/>
      <c r="F76" s="198"/>
      <c r="G76" s="198"/>
      <c r="H76" s="198"/>
      <c r="I76" s="194"/>
      <c r="J76" s="194"/>
      <c r="K76" s="194"/>
      <c r="L76" s="197"/>
      <c r="M76" s="197"/>
      <c r="N76" s="197"/>
      <c r="O76" s="197"/>
      <c r="P76" s="197"/>
      <c r="Q76" s="55"/>
      <c r="R76" s="56"/>
      <c r="S76" s="56"/>
      <c r="T76" s="56"/>
      <c r="U76" s="100"/>
    </row>
    <row r="77" s="140" customFormat="true" ht="15" hidden="false" customHeight="true" outlineLevel="0" collapsed="false">
      <c r="A77" s="194"/>
      <c r="B77" s="194"/>
      <c r="C77" s="194"/>
      <c r="D77" s="194"/>
      <c r="E77" s="199"/>
      <c r="F77" s="199"/>
      <c r="G77" s="199"/>
      <c r="H77" s="199"/>
      <c r="I77" s="194"/>
      <c r="J77" s="194"/>
      <c r="K77" s="194"/>
      <c r="L77" s="197"/>
      <c r="M77" s="197"/>
      <c r="N77" s="197"/>
      <c r="O77" s="197"/>
      <c r="P77" s="197"/>
      <c r="Q77" s="55"/>
      <c r="R77" s="56"/>
      <c r="S77" s="56"/>
      <c r="T77" s="56"/>
      <c r="U77" s="100"/>
    </row>
    <row r="78" s="140" customFormat="true" ht="15" hidden="false" customHeight="true" outlineLevel="0" collapsed="false">
      <c r="A78" s="194"/>
      <c r="B78" s="194"/>
      <c r="C78" s="194"/>
      <c r="D78" s="194"/>
      <c r="E78" s="198"/>
      <c r="F78" s="198"/>
      <c r="G78" s="198"/>
      <c r="H78" s="198"/>
      <c r="I78" s="194"/>
      <c r="J78" s="194"/>
      <c r="K78" s="194"/>
      <c r="L78" s="197"/>
      <c r="M78" s="197"/>
      <c r="N78" s="197"/>
      <c r="O78" s="197"/>
      <c r="P78" s="197"/>
      <c r="Q78" s="55"/>
      <c r="R78" s="56"/>
      <c r="S78" s="56"/>
      <c r="T78" s="56"/>
      <c r="U78" s="100"/>
    </row>
    <row r="79" s="140" customFormat="true" ht="15" hidden="false" customHeight="true" outlineLevel="0" collapsed="false">
      <c r="A79" s="194"/>
      <c r="B79" s="194"/>
      <c r="C79" s="194"/>
      <c r="D79" s="194"/>
      <c r="E79" s="198"/>
      <c r="F79" s="198"/>
      <c r="G79" s="198"/>
      <c r="H79" s="198"/>
      <c r="I79" s="194"/>
      <c r="J79" s="194"/>
      <c r="K79" s="194"/>
      <c r="L79" s="197"/>
      <c r="M79" s="197"/>
      <c r="N79" s="197"/>
      <c r="O79" s="197"/>
      <c r="P79" s="197"/>
      <c r="Q79" s="55"/>
      <c r="R79" s="56"/>
      <c r="S79" s="56"/>
      <c r="T79" s="56"/>
      <c r="U79" s="100"/>
    </row>
    <row r="80" s="140" customFormat="true" ht="15" hidden="false" customHeight="true" outlineLevel="0" collapsed="false">
      <c r="A80" s="194"/>
      <c r="B80" s="194"/>
      <c r="C80" s="194"/>
      <c r="D80" s="194"/>
      <c r="E80" s="198"/>
      <c r="F80" s="198"/>
      <c r="G80" s="198"/>
      <c r="H80" s="198"/>
      <c r="I80" s="194"/>
      <c r="J80" s="194"/>
      <c r="K80" s="194"/>
      <c r="L80" s="197"/>
      <c r="M80" s="197"/>
      <c r="N80" s="197"/>
      <c r="O80" s="197"/>
      <c r="P80" s="197"/>
      <c r="Q80" s="55"/>
      <c r="R80" s="56"/>
      <c r="S80" s="56"/>
      <c r="T80" s="56"/>
      <c r="U80" s="100"/>
    </row>
    <row r="81" s="140" customFormat="true" ht="15" hidden="false" customHeight="true" outlineLevel="0" collapsed="false">
      <c r="A81" s="194"/>
      <c r="B81" s="194"/>
      <c r="C81" s="194"/>
      <c r="D81" s="194"/>
      <c r="E81" s="198"/>
      <c r="F81" s="198"/>
      <c r="G81" s="198"/>
      <c r="H81" s="198"/>
      <c r="I81" s="194"/>
      <c r="J81" s="194"/>
      <c r="K81" s="194"/>
      <c r="L81" s="197"/>
      <c r="M81" s="197"/>
      <c r="N81" s="197"/>
      <c r="O81" s="197"/>
      <c r="P81" s="197"/>
      <c r="Q81" s="55"/>
      <c r="R81" s="56"/>
      <c r="S81" s="56"/>
      <c r="T81" s="56"/>
      <c r="U81" s="100"/>
    </row>
    <row r="82" s="140" customFormat="true" ht="15" hidden="false" customHeight="true" outlineLevel="0" collapsed="false">
      <c r="A82" s="194"/>
      <c r="B82" s="194"/>
      <c r="C82" s="194"/>
      <c r="D82" s="194"/>
      <c r="E82" s="200"/>
      <c r="F82" s="200"/>
      <c r="G82" s="200"/>
      <c r="H82" s="200"/>
      <c r="I82" s="194"/>
      <c r="J82" s="194"/>
      <c r="K82" s="194"/>
      <c r="L82" s="197"/>
      <c r="M82" s="197"/>
      <c r="N82" s="197"/>
      <c r="O82" s="197"/>
      <c r="P82" s="197"/>
      <c r="Q82" s="55"/>
      <c r="R82" s="56"/>
      <c r="S82" s="56"/>
      <c r="T82" s="56"/>
      <c r="U82" s="100"/>
    </row>
    <row r="83" s="140" customFormat="true" ht="15.75" hidden="false" customHeight="true" outlineLevel="0" collapsed="false">
      <c r="A83" s="126" t="s">
        <v>76</v>
      </c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55"/>
      <c r="R83" s="56"/>
      <c r="S83" s="56"/>
      <c r="T83" s="56"/>
      <c r="U83" s="100"/>
    </row>
    <row r="84" s="140" customFormat="true" ht="15" hidden="false" customHeight="true" outlineLevel="0" collapsed="false">
      <c r="A84" s="201" t="s">
        <v>54</v>
      </c>
      <c r="B84" s="201"/>
      <c r="C84" s="201"/>
      <c r="D84" s="201"/>
      <c r="E84" s="201"/>
      <c r="F84" s="202" t="s">
        <v>77</v>
      </c>
      <c r="G84" s="203" t="s">
        <v>78</v>
      </c>
      <c r="H84" s="203"/>
      <c r="I84" s="203"/>
      <c r="J84" s="203"/>
      <c r="K84" s="203"/>
      <c r="L84" s="204" t="s">
        <v>58</v>
      </c>
      <c r="M84" s="204"/>
      <c r="N84" s="204"/>
      <c r="O84" s="204"/>
      <c r="P84" s="204"/>
      <c r="Q84" s="55"/>
      <c r="R84" s="56"/>
      <c r="S84" s="56"/>
      <c r="T84" s="56"/>
      <c r="U84" s="100"/>
    </row>
    <row r="85" s="140" customFormat="true" ht="15" hidden="false" customHeight="true" outlineLevel="0" collapsed="false">
      <c r="A85" s="205"/>
      <c r="B85" s="205"/>
      <c r="C85" s="205"/>
      <c r="D85" s="205"/>
      <c r="E85" s="205"/>
      <c r="F85" s="206" t="n">
        <v>1</v>
      </c>
      <c r="G85" s="207"/>
      <c r="H85" s="207"/>
      <c r="I85" s="207"/>
      <c r="J85" s="207"/>
      <c r="K85" s="208" t="s">
        <v>79</v>
      </c>
      <c r="L85" s="209"/>
      <c r="M85" s="209"/>
      <c r="N85" s="209"/>
      <c r="O85" s="209"/>
      <c r="P85" s="209"/>
      <c r="Q85" s="55"/>
      <c r="R85" s="56"/>
      <c r="S85" s="56"/>
      <c r="T85" s="56"/>
      <c r="U85" s="100"/>
    </row>
    <row r="86" s="140" customFormat="true" ht="15" hidden="false" customHeight="true" outlineLevel="0" collapsed="false">
      <c r="A86" s="144"/>
      <c r="B86" s="144"/>
      <c r="C86" s="144"/>
      <c r="D86" s="144"/>
      <c r="E86" s="144"/>
      <c r="F86" s="144"/>
      <c r="G86" s="210"/>
      <c r="H86" s="210"/>
      <c r="I86" s="210"/>
      <c r="J86" s="210"/>
      <c r="K86" s="210" t="s">
        <v>79</v>
      </c>
      <c r="L86" s="211"/>
      <c r="M86" s="211"/>
      <c r="N86" s="211"/>
      <c r="O86" s="211"/>
      <c r="P86" s="211"/>
      <c r="Q86" s="55"/>
      <c r="R86" s="56"/>
      <c r="S86" s="56"/>
      <c r="T86" s="56"/>
      <c r="U86" s="100"/>
    </row>
    <row r="87" s="140" customFormat="true" ht="18.75" hidden="false" customHeight="true" outlineLevel="0" collapsed="false">
      <c r="A87" s="212" t="s">
        <v>80</v>
      </c>
      <c r="B87" s="212"/>
      <c r="C87" s="212"/>
      <c r="D87" s="212"/>
      <c r="E87" s="212"/>
      <c r="F87" s="212"/>
      <c r="G87" s="212"/>
      <c r="H87" s="212"/>
      <c r="I87" s="212"/>
      <c r="J87" s="212"/>
      <c r="K87" s="212"/>
      <c r="L87" s="212"/>
      <c r="M87" s="212"/>
      <c r="N87" s="212"/>
      <c r="O87" s="212"/>
      <c r="P87" s="212"/>
      <c r="Q87" s="55"/>
      <c r="R87" s="56"/>
      <c r="S87" s="56"/>
      <c r="T87" s="56"/>
      <c r="U87" s="100"/>
    </row>
    <row r="88" s="140" customFormat="true" ht="15" hidden="false" customHeight="true" outlineLevel="0" collapsed="false">
      <c r="A88" s="190" t="s">
        <v>81</v>
      </c>
      <c r="B88" s="190"/>
      <c r="C88" s="190"/>
      <c r="D88" s="190"/>
      <c r="E88" s="191" t="s">
        <v>82</v>
      </c>
      <c r="F88" s="191"/>
      <c r="G88" s="191"/>
      <c r="H88" s="191"/>
      <c r="I88" s="192" t="s">
        <v>83</v>
      </c>
      <c r="J88" s="192"/>
      <c r="K88" s="192"/>
      <c r="L88" s="193" t="s">
        <v>58</v>
      </c>
      <c r="M88" s="193"/>
      <c r="N88" s="193"/>
      <c r="O88" s="193"/>
      <c r="P88" s="193"/>
      <c r="Q88" s="55"/>
      <c r="R88" s="56"/>
      <c r="S88" s="56"/>
      <c r="T88" s="56"/>
      <c r="U88" s="100"/>
    </row>
    <row r="89" s="140" customFormat="true" ht="15" hidden="false" customHeight="true" outlineLevel="0" collapsed="false">
      <c r="A89" s="194"/>
      <c r="B89" s="194"/>
      <c r="C89" s="194"/>
      <c r="D89" s="194"/>
      <c r="E89" s="213"/>
      <c r="F89" s="213"/>
      <c r="G89" s="213"/>
      <c r="H89" s="213"/>
      <c r="I89" s="196"/>
      <c r="J89" s="196"/>
      <c r="K89" s="196"/>
      <c r="L89" s="214"/>
      <c r="M89" s="214"/>
      <c r="N89" s="214"/>
      <c r="O89" s="214"/>
      <c r="P89" s="214"/>
      <c r="Q89" s="55"/>
      <c r="R89" s="56"/>
      <c r="S89" s="56"/>
      <c r="T89" s="56"/>
      <c r="U89" s="100"/>
    </row>
    <row r="90" s="140" customFormat="true" ht="15" hidden="false" customHeight="true" outlineLevel="0" collapsed="false">
      <c r="A90" s="194"/>
      <c r="B90" s="194"/>
      <c r="C90" s="194"/>
      <c r="D90" s="194"/>
      <c r="E90" s="213"/>
      <c r="F90" s="213"/>
      <c r="G90" s="213"/>
      <c r="H90" s="213"/>
      <c r="I90" s="194"/>
      <c r="J90" s="194"/>
      <c r="K90" s="194"/>
      <c r="L90" s="197"/>
      <c r="M90" s="197"/>
      <c r="N90" s="197"/>
      <c r="O90" s="197"/>
      <c r="P90" s="197"/>
      <c r="Q90" s="55"/>
      <c r="R90" s="56"/>
      <c r="S90" s="56"/>
      <c r="T90" s="56"/>
      <c r="U90" s="100"/>
    </row>
    <row r="91" s="215" customFormat="true" ht="15" hidden="false" customHeight="true" outlineLevel="0" collapsed="false">
      <c r="A91" s="194"/>
      <c r="B91" s="194"/>
      <c r="C91" s="194"/>
      <c r="D91" s="194"/>
      <c r="E91" s="213"/>
      <c r="F91" s="213"/>
      <c r="G91" s="213"/>
      <c r="H91" s="213"/>
      <c r="I91" s="194"/>
      <c r="J91" s="194"/>
      <c r="K91" s="194"/>
      <c r="L91" s="197"/>
      <c r="M91" s="197"/>
      <c r="N91" s="197"/>
      <c r="O91" s="197"/>
      <c r="P91" s="197"/>
      <c r="Q91" s="55"/>
      <c r="R91" s="56"/>
      <c r="S91" s="56"/>
      <c r="T91" s="56"/>
      <c r="U91" s="100"/>
    </row>
    <row r="92" s="215" customFormat="true" ht="15" hidden="false" customHeight="true" outlineLevel="0" collapsed="false">
      <c r="A92" s="194"/>
      <c r="B92" s="194"/>
      <c r="C92" s="194"/>
      <c r="D92" s="194"/>
      <c r="E92" s="213"/>
      <c r="F92" s="213"/>
      <c r="G92" s="213"/>
      <c r="H92" s="213"/>
      <c r="I92" s="194"/>
      <c r="J92" s="194"/>
      <c r="K92" s="194"/>
      <c r="L92" s="197"/>
      <c r="M92" s="197"/>
      <c r="N92" s="197"/>
      <c r="O92" s="197"/>
      <c r="P92" s="197"/>
      <c r="Q92" s="55"/>
      <c r="R92" s="56"/>
      <c r="S92" s="56"/>
      <c r="T92" s="56"/>
      <c r="U92" s="100"/>
    </row>
    <row r="93" s="215" customFormat="true" ht="15" hidden="false" customHeight="true" outlineLevel="0" collapsed="false">
      <c r="A93" s="194"/>
      <c r="B93" s="194"/>
      <c r="C93" s="194"/>
      <c r="D93" s="194"/>
      <c r="E93" s="213"/>
      <c r="F93" s="213"/>
      <c r="G93" s="213"/>
      <c r="H93" s="213"/>
      <c r="I93" s="216"/>
      <c r="J93" s="216"/>
      <c r="K93" s="216"/>
      <c r="L93" s="217"/>
      <c r="M93" s="217"/>
      <c r="N93" s="217"/>
      <c r="O93" s="217"/>
      <c r="P93" s="217"/>
      <c r="Q93" s="55"/>
      <c r="R93" s="56"/>
      <c r="S93" s="56"/>
      <c r="T93" s="56"/>
      <c r="U93" s="100"/>
    </row>
    <row r="94" s="222" customFormat="true" ht="18.75" hidden="false" customHeight="true" outlineLevel="0" collapsed="false">
      <c r="A94" s="218" t="s">
        <v>84</v>
      </c>
      <c r="B94" s="218"/>
      <c r="C94" s="218"/>
      <c r="D94" s="218"/>
      <c r="E94" s="218"/>
      <c r="F94" s="218"/>
      <c r="G94" s="218"/>
      <c r="H94" s="218"/>
      <c r="I94" s="218"/>
      <c r="J94" s="218"/>
      <c r="K94" s="218"/>
      <c r="L94" s="218"/>
      <c r="M94" s="218"/>
      <c r="N94" s="218"/>
      <c r="O94" s="218"/>
      <c r="P94" s="218"/>
      <c r="Q94" s="219"/>
      <c r="R94" s="220"/>
      <c r="S94" s="220"/>
      <c r="T94" s="220"/>
      <c r="U94" s="221"/>
    </row>
    <row r="95" s="222" customFormat="true" ht="12.75" hidden="false" customHeight="true" outlineLevel="0" collapsed="false">
      <c r="A95" s="223" t="s">
        <v>85</v>
      </c>
      <c r="B95" s="224"/>
      <c r="C95" s="224" t="s">
        <v>86</v>
      </c>
      <c r="D95" s="224"/>
      <c r="E95" s="224" t="s">
        <v>87</v>
      </c>
      <c r="F95" s="224"/>
      <c r="G95" s="224" t="s">
        <v>88</v>
      </c>
      <c r="H95" s="224"/>
      <c r="I95" s="224"/>
      <c r="J95" s="224" t="s">
        <v>89</v>
      </c>
      <c r="K95" s="224"/>
      <c r="L95" s="224"/>
      <c r="M95" s="224" t="s">
        <v>90</v>
      </c>
      <c r="N95" s="224"/>
      <c r="O95" s="224"/>
      <c r="P95" s="225" t="s">
        <v>91</v>
      </c>
      <c r="Q95" s="219"/>
      <c r="R95" s="220"/>
      <c r="S95" s="220"/>
      <c r="T95" s="220"/>
      <c r="U95" s="221"/>
    </row>
    <row r="96" s="222" customFormat="true" ht="5.25" hidden="false" customHeight="true" outlineLevel="0" collapsed="false">
      <c r="A96" s="226"/>
      <c r="B96" s="227"/>
      <c r="C96" s="227"/>
      <c r="D96" s="227"/>
      <c r="E96" s="227"/>
      <c r="F96" s="227"/>
      <c r="G96" s="227"/>
      <c r="H96" s="227"/>
      <c r="I96" s="227"/>
      <c r="J96" s="227"/>
      <c r="K96" s="227"/>
      <c r="L96" s="227"/>
      <c r="M96" s="227"/>
      <c r="N96" s="227"/>
      <c r="O96" s="227"/>
      <c r="P96" s="228"/>
      <c r="Q96" s="219"/>
      <c r="R96" s="220"/>
      <c r="S96" s="220"/>
      <c r="T96" s="220"/>
      <c r="U96" s="221"/>
    </row>
    <row r="97" s="222" customFormat="true" ht="12.75" hidden="false" customHeight="true" outlineLevel="0" collapsed="false">
      <c r="A97" s="229"/>
      <c r="B97" s="229"/>
      <c r="C97" s="229"/>
      <c r="D97" s="229"/>
      <c r="E97" s="229"/>
      <c r="F97" s="229"/>
      <c r="G97" s="229"/>
      <c r="H97" s="229"/>
      <c r="I97" s="229"/>
      <c r="J97" s="229"/>
      <c r="K97" s="229"/>
      <c r="L97" s="229"/>
      <c r="M97" s="230"/>
      <c r="N97" s="229"/>
      <c r="O97" s="229"/>
      <c r="P97" s="231"/>
      <c r="Q97" s="219"/>
      <c r="R97" s="220"/>
      <c r="S97" s="220"/>
      <c r="T97" s="220"/>
      <c r="U97" s="221"/>
    </row>
    <row r="98" s="222" customFormat="true" ht="6" hidden="false" customHeight="true" outlineLevel="0" collapsed="false">
      <c r="A98" s="232"/>
      <c r="B98" s="232"/>
      <c r="C98" s="232"/>
      <c r="D98" s="232"/>
      <c r="E98" s="232"/>
      <c r="F98" s="232"/>
      <c r="G98" s="232"/>
      <c r="H98" s="232"/>
      <c r="I98" s="232"/>
      <c r="J98" s="232"/>
      <c r="K98" s="232"/>
      <c r="L98" s="232"/>
      <c r="M98" s="232"/>
      <c r="N98" s="232"/>
      <c r="O98" s="232"/>
      <c r="P98" s="232"/>
      <c r="Q98" s="219"/>
      <c r="R98" s="220"/>
      <c r="S98" s="220"/>
      <c r="T98" s="220"/>
      <c r="U98" s="221"/>
    </row>
    <row r="99" s="215" customFormat="true" ht="18.75" hidden="false" customHeight="true" outlineLevel="0" collapsed="false">
      <c r="A99" s="233" t="s">
        <v>92</v>
      </c>
      <c r="B99" s="233"/>
      <c r="C99" s="233"/>
      <c r="D99" s="233"/>
      <c r="E99" s="233"/>
      <c r="F99" s="233"/>
      <c r="G99" s="233"/>
      <c r="H99" s="233"/>
      <c r="I99" s="233"/>
      <c r="J99" s="233"/>
      <c r="K99" s="233"/>
      <c r="L99" s="233"/>
      <c r="M99" s="233"/>
      <c r="N99" s="233"/>
      <c r="O99" s="233"/>
      <c r="P99" s="233"/>
      <c r="Q99" s="55"/>
      <c r="R99" s="56"/>
      <c r="S99" s="56"/>
      <c r="T99" s="56"/>
      <c r="U99" s="99"/>
    </row>
    <row r="100" s="237" customFormat="true" ht="15" hidden="false" customHeight="true" outlineLevel="0" collapsed="false">
      <c r="A100" s="203" t="s">
        <v>92</v>
      </c>
      <c r="B100" s="203"/>
      <c r="C100" s="203"/>
      <c r="D100" s="234" t="s">
        <v>93</v>
      </c>
      <c r="E100" s="235"/>
      <c r="F100" s="235"/>
      <c r="G100" s="235"/>
      <c r="H100" s="235"/>
      <c r="I100" s="235"/>
      <c r="J100" s="235"/>
      <c r="K100" s="235"/>
      <c r="L100" s="235"/>
      <c r="M100" s="235"/>
      <c r="N100" s="201" t="s">
        <v>94</v>
      </c>
      <c r="O100" s="201"/>
      <c r="P100" s="236" t="s">
        <v>95</v>
      </c>
      <c r="Q100" s="55"/>
      <c r="R100" s="56"/>
      <c r="S100" s="56"/>
      <c r="T100" s="56"/>
      <c r="U100" s="73"/>
    </row>
    <row r="101" s="7" customFormat="true" ht="15" hidden="false" customHeight="true" outlineLevel="0" collapsed="false">
      <c r="A101" s="238"/>
      <c r="B101" s="238"/>
      <c r="C101" s="238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239"/>
      <c r="O101" s="239"/>
      <c r="P101" s="208"/>
      <c r="Q101" s="55"/>
      <c r="R101" s="56"/>
      <c r="S101" s="56"/>
      <c r="T101" s="56"/>
      <c r="U101" s="73"/>
    </row>
    <row r="102" s="7" customFormat="true" ht="15" hidden="false" customHeight="true" outlineLevel="0" collapsed="false">
      <c r="A102" s="240"/>
      <c r="B102" s="240"/>
      <c r="C102" s="240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241"/>
      <c r="O102" s="241"/>
      <c r="P102" s="240"/>
      <c r="Q102" s="55"/>
      <c r="R102" s="56"/>
      <c r="S102" s="56"/>
      <c r="T102" s="56"/>
      <c r="U102" s="73"/>
    </row>
    <row r="103" s="7" customFormat="true" ht="15" hidden="false" customHeight="true" outlineLevel="0" collapsed="false">
      <c r="A103" s="240"/>
      <c r="B103" s="240"/>
      <c r="C103" s="240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241"/>
      <c r="O103" s="241"/>
      <c r="P103" s="240"/>
      <c r="Q103" s="55"/>
      <c r="R103" s="56"/>
      <c r="S103" s="56"/>
      <c r="T103" s="56"/>
      <c r="U103" s="73"/>
    </row>
    <row r="104" s="7" customFormat="true" ht="15" hidden="false" customHeight="true" outlineLevel="0" collapsed="false">
      <c r="A104" s="240"/>
      <c r="B104" s="240"/>
      <c r="C104" s="240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241"/>
      <c r="O104" s="241"/>
      <c r="P104" s="240"/>
      <c r="Q104" s="55"/>
      <c r="R104" s="56"/>
      <c r="S104" s="56"/>
      <c r="T104" s="56"/>
      <c r="U104" s="73"/>
    </row>
    <row r="105" s="7" customFormat="true" ht="15" hidden="false" customHeight="true" outlineLevel="0" collapsed="false">
      <c r="A105" s="210"/>
      <c r="B105" s="210"/>
      <c r="C105" s="210"/>
      <c r="D105" s="210"/>
      <c r="E105" s="210"/>
      <c r="F105" s="210"/>
      <c r="G105" s="210"/>
      <c r="H105" s="210"/>
      <c r="I105" s="210"/>
      <c r="J105" s="210"/>
      <c r="K105" s="210"/>
      <c r="L105" s="210"/>
      <c r="M105" s="210"/>
      <c r="N105" s="210"/>
      <c r="O105" s="210"/>
      <c r="P105" s="210"/>
      <c r="Q105" s="55"/>
      <c r="R105" s="56"/>
      <c r="S105" s="56"/>
      <c r="T105" s="56"/>
      <c r="U105" s="73"/>
    </row>
    <row r="106" customFormat="false" ht="15" hidden="false" customHeight="true" outlineLevel="0" collapsed="false">
      <c r="A106" s="242"/>
      <c r="B106" s="21"/>
      <c r="C106" s="21"/>
      <c r="D106" s="21"/>
      <c r="E106" s="21"/>
      <c r="F106" s="21"/>
      <c r="G106" s="21"/>
      <c r="H106" s="56"/>
      <c r="I106" s="56"/>
      <c r="J106" s="56"/>
      <c r="K106" s="56"/>
      <c r="L106" s="243"/>
      <c r="M106" s="21"/>
      <c r="N106" s="21"/>
      <c r="O106" s="21"/>
      <c r="P106" s="21"/>
      <c r="Q106" s="55"/>
      <c r="R106" s="56"/>
      <c r="S106" s="56"/>
      <c r="T106" s="56"/>
      <c r="U106" s="73"/>
    </row>
    <row r="107" customFormat="false" ht="15" hidden="false" customHeight="true" outlineLevel="0" collapsed="false">
      <c r="C107" s="244" t="s">
        <v>96</v>
      </c>
      <c r="D107" s="56" t="s">
        <v>96</v>
      </c>
      <c r="E107" s="56" t="s">
        <v>96</v>
      </c>
      <c r="F107" s="56" t="s">
        <v>96</v>
      </c>
      <c r="G107" s="56" t="s">
        <v>96</v>
      </c>
      <c r="H107" s="245" t="s">
        <v>96</v>
      </c>
      <c r="I107" s="245" t="s">
        <v>96</v>
      </c>
      <c r="J107" s="245" t="s">
        <v>96</v>
      </c>
      <c r="K107" s="245" t="s">
        <v>96</v>
      </c>
      <c r="L107" s="245" t="s">
        <v>96</v>
      </c>
      <c r="M107" s="243" t="s">
        <v>96</v>
      </c>
      <c r="N107" s="246" t="s">
        <v>96</v>
      </c>
      <c r="O107" s="246" t="s">
        <v>96</v>
      </c>
      <c r="P107" s="245" t="s">
        <v>96</v>
      </c>
      <c r="Q107" s="55"/>
      <c r="R107" s="56"/>
      <c r="S107" s="56"/>
      <c r="T107" s="56"/>
      <c r="U107" s="56"/>
      <c r="V107" s="245"/>
      <c r="W107" s="245"/>
      <c r="X107" s="245"/>
      <c r="Y107" s="245"/>
      <c r="Z107" s="245"/>
      <c r="AA107" s="245"/>
      <c r="AB107" s="245"/>
      <c r="AC107" s="245"/>
      <c r="AD107" s="245"/>
      <c r="AE107" s="245"/>
      <c r="AF107" s="245"/>
      <c r="AG107" s="245"/>
    </row>
  </sheetData>
  <mergeCells count="309">
    <mergeCell ref="A1:P2"/>
    <mergeCell ref="Q1:U2"/>
    <mergeCell ref="A3:B4"/>
    <mergeCell ref="C3:G4"/>
    <mergeCell ref="H3:J4"/>
    <mergeCell ref="K3:M4"/>
    <mergeCell ref="R3:U14"/>
    <mergeCell ref="N4:P4"/>
    <mergeCell ref="A5:D6"/>
    <mergeCell ref="E5:M6"/>
    <mergeCell ref="A7:B8"/>
    <mergeCell ref="C7:D8"/>
    <mergeCell ref="E7:F8"/>
    <mergeCell ref="G7:G8"/>
    <mergeCell ref="H7:J8"/>
    <mergeCell ref="K7:M8"/>
    <mergeCell ref="A9:B9"/>
    <mergeCell ref="C9:D9"/>
    <mergeCell ref="E9:J9"/>
    <mergeCell ref="K9:M9"/>
    <mergeCell ref="A10:M10"/>
    <mergeCell ref="A11:C11"/>
    <mergeCell ref="G11:J11"/>
    <mergeCell ref="A12:C12"/>
    <mergeCell ref="G12:J12"/>
    <mergeCell ref="A13:C13"/>
    <mergeCell ref="G13:J13"/>
    <mergeCell ref="A14:C14"/>
    <mergeCell ref="G14:J14"/>
    <mergeCell ref="A15:C15"/>
    <mergeCell ref="G15:J15"/>
    <mergeCell ref="A16:C16"/>
    <mergeCell ref="N16:P16"/>
    <mergeCell ref="A17:C17"/>
    <mergeCell ref="N17:P20"/>
    <mergeCell ref="A18:C18"/>
    <mergeCell ref="A19:M19"/>
    <mergeCell ref="A20:C20"/>
    <mergeCell ref="G20:J20"/>
    <mergeCell ref="A21:C21"/>
    <mergeCell ref="G21:J21"/>
    <mergeCell ref="N21:P21"/>
    <mergeCell ref="A22:C22"/>
    <mergeCell ref="A23:C23"/>
    <mergeCell ref="N23:P25"/>
    <mergeCell ref="A24:C24"/>
    <mergeCell ref="A25:C25"/>
    <mergeCell ref="G25:J25"/>
    <mergeCell ref="A26:C26"/>
    <mergeCell ref="G26:J26"/>
    <mergeCell ref="A27:C27"/>
    <mergeCell ref="G27:J27"/>
    <mergeCell ref="A28:P28"/>
    <mergeCell ref="A29:C29"/>
    <mergeCell ref="G29:H29"/>
    <mergeCell ref="I29:O29"/>
    <mergeCell ref="A30:C30"/>
    <mergeCell ref="I30:O30"/>
    <mergeCell ref="A31:C31"/>
    <mergeCell ref="I31:O31"/>
    <mergeCell ref="A32:C32"/>
    <mergeCell ref="I32:O32"/>
    <mergeCell ref="A33:C33"/>
    <mergeCell ref="I33:O33"/>
    <mergeCell ref="A34:C34"/>
    <mergeCell ref="I34:O34"/>
    <mergeCell ref="A35:C35"/>
    <mergeCell ref="I35:O35"/>
    <mergeCell ref="A36:C36"/>
    <mergeCell ref="I36:O36"/>
    <mergeCell ref="A37:C37"/>
    <mergeCell ref="I37:O37"/>
    <mergeCell ref="A38:C38"/>
    <mergeCell ref="I38:O38"/>
    <mergeCell ref="A39:C39"/>
    <mergeCell ref="I39:O39"/>
    <mergeCell ref="A40:C40"/>
    <mergeCell ref="I40:L40"/>
    <mergeCell ref="N40:O40"/>
    <mergeCell ref="A41:P41"/>
    <mergeCell ref="A42:C42"/>
    <mergeCell ref="E42:F42"/>
    <mergeCell ref="G42:H42"/>
    <mergeCell ref="I42:J42"/>
    <mergeCell ref="L42:O42"/>
    <mergeCell ref="A43:C43"/>
    <mergeCell ref="E43:F43"/>
    <mergeCell ref="G43:H43"/>
    <mergeCell ref="I43:J43"/>
    <mergeCell ref="L43:O43"/>
    <mergeCell ref="A44:C44"/>
    <mergeCell ref="E44:F44"/>
    <mergeCell ref="G44:H44"/>
    <mergeCell ref="I44:J44"/>
    <mergeCell ref="L44:O44"/>
    <mergeCell ref="A45:C45"/>
    <mergeCell ref="E45:F45"/>
    <mergeCell ref="G45:H45"/>
    <mergeCell ref="I45:J45"/>
    <mergeCell ref="L45:O45"/>
    <mergeCell ref="A46:C46"/>
    <mergeCell ref="E46:F46"/>
    <mergeCell ref="G46:H46"/>
    <mergeCell ref="I46:J46"/>
    <mergeCell ref="L46:O46"/>
    <mergeCell ref="A47:C47"/>
    <mergeCell ref="E47:F47"/>
    <mergeCell ref="G47:H47"/>
    <mergeCell ref="I47:J47"/>
    <mergeCell ref="L47:O47"/>
    <mergeCell ref="A48:C48"/>
    <mergeCell ref="E48:F48"/>
    <mergeCell ref="G48:H48"/>
    <mergeCell ref="I48:J48"/>
    <mergeCell ref="L48:O48"/>
    <mergeCell ref="A49:C49"/>
    <mergeCell ref="E49:F49"/>
    <mergeCell ref="G49:H49"/>
    <mergeCell ref="I49:J49"/>
    <mergeCell ref="L49:O49"/>
    <mergeCell ref="A50:C50"/>
    <mergeCell ref="E50:F50"/>
    <mergeCell ref="G50:H50"/>
    <mergeCell ref="I50:J50"/>
    <mergeCell ref="L50:O50"/>
    <mergeCell ref="A51:C51"/>
    <mergeCell ref="E51:F51"/>
    <mergeCell ref="G51:H51"/>
    <mergeCell ref="I51:J51"/>
    <mergeCell ref="L51:O51"/>
    <mergeCell ref="A52:C52"/>
    <mergeCell ref="E52:F52"/>
    <mergeCell ref="G52:H52"/>
    <mergeCell ref="I52:J52"/>
    <mergeCell ref="L52:O52"/>
    <mergeCell ref="A53:C53"/>
    <mergeCell ref="E53:F53"/>
    <mergeCell ref="G53:H53"/>
    <mergeCell ref="I53:J53"/>
    <mergeCell ref="L53:O53"/>
    <mergeCell ref="A54:C54"/>
    <mergeCell ref="E54:F54"/>
    <mergeCell ref="G54:H54"/>
    <mergeCell ref="I54:J54"/>
    <mergeCell ref="L54:O54"/>
    <mergeCell ref="A55:C55"/>
    <mergeCell ref="E55:F55"/>
    <mergeCell ref="G55:H55"/>
    <mergeCell ref="I55:J55"/>
    <mergeCell ref="L55:O55"/>
    <mergeCell ref="A56:C56"/>
    <mergeCell ref="E56:F56"/>
    <mergeCell ref="G56:H56"/>
    <mergeCell ref="I56:J56"/>
    <mergeCell ref="L56:O56"/>
    <mergeCell ref="A57:C57"/>
    <mergeCell ref="E57:F57"/>
    <mergeCell ref="G57:H57"/>
    <mergeCell ref="I57:J57"/>
    <mergeCell ref="L57:O57"/>
    <mergeCell ref="A58:D58"/>
    <mergeCell ref="E58:F58"/>
    <mergeCell ref="G58:I58"/>
    <mergeCell ref="K58:K63"/>
    <mergeCell ref="L58:O58"/>
    <mergeCell ref="A59:D59"/>
    <mergeCell ref="E59:F59"/>
    <mergeCell ref="G59:I59"/>
    <mergeCell ref="L59:O59"/>
    <mergeCell ref="A60:D60"/>
    <mergeCell ref="E60:F60"/>
    <mergeCell ref="G60:I60"/>
    <mergeCell ref="L60:O60"/>
    <mergeCell ref="A61:D61"/>
    <mergeCell ref="E61:F61"/>
    <mergeCell ref="G61:I61"/>
    <mergeCell ref="L61:O61"/>
    <mergeCell ref="A62:D62"/>
    <mergeCell ref="E62:F62"/>
    <mergeCell ref="G62:I62"/>
    <mergeCell ref="L62:O62"/>
    <mergeCell ref="A63:D63"/>
    <mergeCell ref="E63:F63"/>
    <mergeCell ref="G63:I63"/>
    <mergeCell ref="L63:O63"/>
    <mergeCell ref="Q63:R63"/>
    <mergeCell ref="A64:D64"/>
    <mergeCell ref="E64:F64"/>
    <mergeCell ref="G64:J64"/>
    <mergeCell ref="M64:O64"/>
    <mergeCell ref="A65:P65"/>
    <mergeCell ref="A66:D66"/>
    <mergeCell ref="E66:H66"/>
    <mergeCell ref="I66:L66"/>
    <mergeCell ref="M66:P66"/>
    <mergeCell ref="E67:H67"/>
    <mergeCell ref="I67:L67"/>
    <mergeCell ref="M67:P67"/>
    <mergeCell ref="A68:D68"/>
    <mergeCell ref="E68:H68"/>
    <mergeCell ref="I68:L68"/>
    <mergeCell ref="M68:P68"/>
    <mergeCell ref="A69:D69"/>
    <mergeCell ref="E69:H69"/>
    <mergeCell ref="I69:L69"/>
    <mergeCell ref="M69:P69"/>
    <mergeCell ref="A70:D70"/>
    <mergeCell ref="E70:H70"/>
    <mergeCell ref="I70:L70"/>
    <mergeCell ref="M70:P70"/>
    <mergeCell ref="A71:P71"/>
    <mergeCell ref="A72:D72"/>
    <mergeCell ref="E72:H72"/>
    <mergeCell ref="I72:K72"/>
    <mergeCell ref="L72:P72"/>
    <mergeCell ref="A73:D73"/>
    <mergeCell ref="E73:H73"/>
    <mergeCell ref="I73:K73"/>
    <mergeCell ref="L73:P73"/>
    <mergeCell ref="A74:D74"/>
    <mergeCell ref="E74:H74"/>
    <mergeCell ref="I74:K74"/>
    <mergeCell ref="L74:P74"/>
    <mergeCell ref="A75:D75"/>
    <mergeCell ref="E75:H75"/>
    <mergeCell ref="I75:K75"/>
    <mergeCell ref="L75:P75"/>
    <mergeCell ref="A76:D76"/>
    <mergeCell ref="E76:H76"/>
    <mergeCell ref="I76:K76"/>
    <mergeCell ref="L76:P76"/>
    <mergeCell ref="A77:D77"/>
    <mergeCell ref="E77:H77"/>
    <mergeCell ref="I77:K77"/>
    <mergeCell ref="L77:P77"/>
    <mergeCell ref="A78:D78"/>
    <mergeCell ref="E78:H78"/>
    <mergeCell ref="I78:K78"/>
    <mergeCell ref="L78:P78"/>
    <mergeCell ref="A79:D79"/>
    <mergeCell ref="E79:H79"/>
    <mergeCell ref="I79:K79"/>
    <mergeCell ref="L79:P79"/>
    <mergeCell ref="A80:D80"/>
    <mergeCell ref="E80:H80"/>
    <mergeCell ref="I80:K80"/>
    <mergeCell ref="L80:P80"/>
    <mergeCell ref="A81:D81"/>
    <mergeCell ref="E81:H81"/>
    <mergeCell ref="I81:K81"/>
    <mergeCell ref="L81:P81"/>
    <mergeCell ref="A82:D82"/>
    <mergeCell ref="E82:H82"/>
    <mergeCell ref="I82:K82"/>
    <mergeCell ref="L82:P82"/>
    <mergeCell ref="A83:P83"/>
    <mergeCell ref="A84:E84"/>
    <mergeCell ref="G84:K84"/>
    <mergeCell ref="L84:P84"/>
    <mergeCell ref="A85:E85"/>
    <mergeCell ref="G85:J85"/>
    <mergeCell ref="L85:P85"/>
    <mergeCell ref="A86:F86"/>
    <mergeCell ref="G86:J86"/>
    <mergeCell ref="L86:P86"/>
    <mergeCell ref="A87:P87"/>
    <mergeCell ref="A88:D88"/>
    <mergeCell ref="E88:H88"/>
    <mergeCell ref="I88:K88"/>
    <mergeCell ref="L88:P88"/>
    <mergeCell ref="A89:D89"/>
    <mergeCell ref="E89:H89"/>
    <mergeCell ref="I89:K89"/>
    <mergeCell ref="L89:P89"/>
    <mergeCell ref="A90:D90"/>
    <mergeCell ref="E90:H90"/>
    <mergeCell ref="I90:K90"/>
    <mergeCell ref="L90:P90"/>
    <mergeCell ref="A91:D91"/>
    <mergeCell ref="E91:H91"/>
    <mergeCell ref="I91:K91"/>
    <mergeCell ref="L91:P91"/>
    <mergeCell ref="A92:D92"/>
    <mergeCell ref="E92:H92"/>
    <mergeCell ref="I92:K92"/>
    <mergeCell ref="L92:P92"/>
    <mergeCell ref="A93:D93"/>
    <mergeCell ref="E93:H93"/>
    <mergeCell ref="I93:K93"/>
    <mergeCell ref="L93:P93"/>
    <mergeCell ref="A94:P94"/>
    <mergeCell ref="A98:P98"/>
    <mergeCell ref="A99:P99"/>
    <mergeCell ref="A100:C100"/>
    <mergeCell ref="N100:O100"/>
    <mergeCell ref="A101:C101"/>
    <mergeCell ref="D101:M101"/>
    <mergeCell ref="N101:O101"/>
    <mergeCell ref="A102:C102"/>
    <mergeCell ref="D102:M102"/>
    <mergeCell ref="N102:O102"/>
    <mergeCell ref="A103:C103"/>
    <mergeCell ref="D103:M103"/>
    <mergeCell ref="N103:O103"/>
    <mergeCell ref="A104:C104"/>
    <mergeCell ref="D104:M104"/>
    <mergeCell ref="N104:O104"/>
    <mergeCell ref="A105:C105"/>
    <mergeCell ref="D105:P105"/>
  </mergeCells>
  <conditionalFormatting sqref="M26">
    <cfRule type="cellIs" priority="2" operator="lessThan" aboveAverage="0" equalAverage="0" bottom="0" percent="0" rank="0" text="" dxfId="0">
      <formula>$K$64</formula>
    </cfRule>
    <cfRule type="cellIs" priority="3" operator="greaterThan" aboveAverage="0" equalAverage="0" bottom="0" percent="0" rank="0" text="" dxfId="0">
      <formula>$K$64</formula>
    </cfRule>
    <cfRule type="cellIs" priority="4" operator="equal" aboveAverage="0" equalAverage="0" bottom="0" percent="0" rank="0" text="" dxfId="1">
      <formula>$K$64</formula>
    </cfRule>
  </conditionalFormatting>
  <conditionalFormatting sqref="J58">
    <cfRule type="expression" priority="5" aboveAverage="0" equalAverage="0" bottom="0" percent="0" rank="0" text="" dxfId="2">
      <formula>G58=0</formula>
    </cfRule>
    <cfRule type="expression" priority="6" aboveAverage="0" equalAverage="0" bottom="0" percent="0" rank="0" text="" dxfId="3">
      <formula>G58="@16C"</formula>
    </cfRule>
    <cfRule type="expression" priority="7" aboveAverage="0" equalAverage="0" bottom="0" percent="0" rank="0" text="" dxfId="4">
      <formula>G58="WARM"</formula>
    </cfRule>
  </conditionalFormatting>
  <conditionalFormatting sqref="J61">
    <cfRule type="expression" priority="8" aboveAverage="0" equalAverage="0" bottom="0" percent="0" rank="0" text="" dxfId="2">
      <formula>G61=0</formula>
    </cfRule>
    <cfRule type="expression" priority="9" aboveAverage="0" equalAverage="0" bottom="0" percent="0" rank="0" text="" dxfId="3">
      <formula>G61="@16C"</formula>
    </cfRule>
    <cfRule type="expression" priority="10" aboveAverage="0" equalAverage="0" bottom="0" percent="0" rank="0" text="" dxfId="4">
      <formula>G61="WARM"</formula>
    </cfRule>
  </conditionalFormatting>
  <conditionalFormatting sqref="J59">
    <cfRule type="expression" priority="11" aboveAverage="0" equalAverage="0" bottom="0" percent="0" rank="0" text="" dxfId="2">
      <formula>G59=0</formula>
    </cfRule>
    <cfRule type="expression" priority="12" aboveAverage="0" equalAverage="0" bottom="0" percent="0" rank="0" text="" dxfId="3">
      <formula>G59="@16C"</formula>
    </cfRule>
    <cfRule type="expression" priority="13" aboveAverage="0" equalAverage="0" bottom="0" percent="0" rank="0" text="" dxfId="4">
      <formula>G59="WARM"</formula>
    </cfRule>
  </conditionalFormatting>
  <conditionalFormatting sqref="G62:I63">
    <cfRule type="containsText" priority="14" operator="containsText" aboveAverage="0" equalAverage="0" bottom="0" percent="0" rank="0" text="0" dxfId="2">
      <formula>NOT(ISERROR(SEARCH("0",G62)))</formula>
    </cfRule>
    <cfRule type="containsText" priority="15" operator="containsText" aboveAverage="0" equalAverage="0" bottom="0" percent="0" rank="0" text="16C" dxfId="3">
      <formula>NOT(ISERROR(SEARCH("16C",G62)))</formula>
    </cfRule>
    <cfRule type="containsText" priority="16" operator="containsText" aboveAverage="0" equalAverage="0" bottom="0" percent="0" rank="0" text="warm" dxfId="4">
      <formula>NOT(ISERROR(SEARCH("warm",G62)))</formula>
    </cfRule>
  </conditionalFormatting>
  <conditionalFormatting sqref="N17:P20">
    <cfRule type="containsText" priority="17" operator="containsText" aboveAverage="0" equalAverage="0" bottom="0" percent="0" rank="0" text="Suiker en gevaarlijk" dxfId="5">
      <formula>NOT(ISERROR(SEARCH("Suiker en gevaarlijk",N17)))</formula>
    </cfRule>
    <cfRule type="containsText" priority="18" operator="containsText" aboveAverage="0" equalAverage="0" bottom="0" percent="0" rank="0" text="Suikerhoudend" dxfId="6">
      <formula>NOT(ISERROR(SEARCH("Suikerhoudend",N17)))</formula>
    </cfRule>
    <cfRule type="containsText" priority="19" operator="containsText" aboveAverage="0" equalAverage="0" bottom="0" percent="0" rank="0" text="Gevaarlijk" dxfId="7">
      <formula>NOT(ISERROR(SEARCH("Gevaarlijk",N17)))</formula>
    </cfRule>
    <cfRule type="containsText" priority="20" operator="containsText" aboveAverage="0" equalAverage="0" bottom="0" percent="0" rank="0" text="Standaard" dxfId="8">
      <formula>NOT(ISERROR(SEARCH("Standaard",N17)))</formula>
    </cfRule>
    <cfRule type="containsText" priority="21" operator="containsText" aboveAverage="0" equalAverage="0" bottom="0" percent="0" rank="0" text="Gevoelig" dxfId="9">
      <formula>NOT(ISERROR(SEARCH("Gevoelig",N17)))</formula>
    </cfRule>
  </conditionalFormatting>
  <conditionalFormatting sqref="J62:J63">
    <cfRule type="expression" priority="22" aboveAverage="0" equalAverage="0" bottom="0" percent="0" rank="0" text="" dxfId="2">
      <formula>G62=0</formula>
    </cfRule>
    <cfRule type="expression" priority="23" aboveAverage="0" equalAverage="0" bottom="0" percent="0" rank="0" text="" dxfId="3">
      <formula>G62="@16C"</formula>
    </cfRule>
    <cfRule type="expression" priority="24" aboveAverage="0" equalAverage="0" bottom="0" percent="0" rank="0" text="" dxfId="4">
      <formula>G62="WARM"</formula>
    </cfRule>
  </conditionalFormatting>
  <conditionalFormatting sqref="G61:I61">
    <cfRule type="containsText" priority="25" operator="containsText" aboveAverage="0" equalAverage="0" bottom="0" percent="0" rank="0" text="0" dxfId="2">
      <formula>NOT(ISERROR(SEARCH("0",G61)))</formula>
    </cfRule>
    <cfRule type="containsText" priority="26" operator="containsText" aboveAverage="0" equalAverage="0" bottom="0" percent="0" rank="0" text="16C" dxfId="3">
      <formula>NOT(ISERROR(SEARCH("16C",G61)))</formula>
    </cfRule>
    <cfRule type="containsText" priority="27" operator="containsText" aboveAverage="0" equalAverage="0" bottom="0" percent="0" rank="0" text="warm" dxfId="4">
      <formula>NOT(ISERROR(SEARCH("warm",G61)))</formula>
    </cfRule>
  </conditionalFormatting>
  <conditionalFormatting sqref="J60">
    <cfRule type="expression" priority="28" aboveAverage="0" equalAverage="0" bottom="0" percent="0" rank="0" text="" dxfId="4">
      <formula>G60="warm"</formula>
    </cfRule>
    <cfRule type="expression" priority="29" aboveAverage="0" equalAverage="0" bottom="0" percent="0" rank="0" text="" dxfId="3">
      <formula>G60="16C"</formula>
    </cfRule>
    <cfRule type="containsText" priority="30" operator="containsText" aboveAverage="0" equalAverage="0" bottom="0" percent="0" rank="0" text="0" dxfId="2">
      <formula>NOT(ISERROR(SEARCH("0",J60)))</formula>
    </cfRule>
  </conditionalFormatting>
  <conditionalFormatting sqref="G59:I60">
    <cfRule type="containsText" priority="31" operator="containsText" aboveAverage="0" equalAverage="0" bottom="0" percent="0" rank="0" text="0" dxfId="2">
      <formula>NOT(ISERROR(SEARCH("0",G59)))</formula>
    </cfRule>
    <cfRule type="containsText" priority="32" operator="containsText" aboveAverage="0" equalAverage="0" bottom="0" percent="0" rank="0" text="16C" dxfId="3">
      <formula>NOT(ISERROR(SEARCH("16C",G59)))</formula>
    </cfRule>
    <cfRule type="containsText" priority="33" operator="containsText" aboveAverage="0" equalAverage="0" bottom="0" percent="0" rank="0" text="warm" dxfId="4">
      <formula>NOT(ISERROR(SEARCH("warm",G59)))</formula>
    </cfRule>
  </conditionalFormatting>
  <conditionalFormatting sqref="G58:I58">
    <cfRule type="containsText" priority="34" operator="containsText" aboveAverage="0" equalAverage="0" bottom="0" percent="0" rank="0" text="0" dxfId="2">
      <formula>NOT(ISERROR(SEARCH("0",G58)))</formula>
    </cfRule>
    <cfRule type="containsText" priority="35" operator="containsText" aboveAverage="0" equalAverage="0" bottom="0" percent="0" rank="0" text="koud" dxfId="3">
      <formula>NOT(ISERROR(SEARCH("koud",G58)))</formula>
    </cfRule>
    <cfRule type="containsText" priority="36" operator="containsText" aboveAverage="0" equalAverage="0" bottom="0" percent="0" rank="0" text="warm" dxfId="4">
      <formula>NOT(ISERROR(SEARCH("warm",G58)))</formula>
    </cfRule>
  </conditionalFormatting>
  <conditionalFormatting sqref="N23:P25">
    <cfRule type="containsText" priority="37" operator="containsText" aboveAverage="0" equalAverage="0" bottom="0" percent="0" rank="0" text="Te verbeteren" dxfId="10">
      <formula>NOT(ISERROR(SEARCH("Te verbeteren",N23)))</formula>
    </cfRule>
    <cfRule type="containsText" priority="38" operator="containsText" aboveAverage="0" equalAverage="0" bottom="0" percent="0" rank="0" text="Standaard" dxfId="11">
      <formula>NOT(ISERROR(SEARCH("Standaard",N23)))</formula>
    </cfRule>
    <cfRule type="containsText" priority="39" operator="containsText" aboveAverage="0" equalAverage="0" bottom="0" percent="0" rank="0" text="NPI" dxfId="12">
      <formula>NOT(ISERROR(SEARCH("NPI",N23)))</formula>
    </cfRule>
    <cfRule type="containsText" priority="40" operator="containsText" aboveAverage="0" equalAverage="0" bottom="0" percent="0" rank="0" text="Gevaarlijk" dxfId="12">
      <formula>NOT(ISERROR(SEARCH("Gevaarlijk",N23)))</formula>
    </cfRule>
    <cfRule type="containsText" priority="41" operator="containsText" aboveAverage="0" equalAverage="0" bottom="0" percent="0" rank="0" text="Standaard" dxfId="11">
      <formula>NOT(ISERROR(SEARCH("Standaard",N23)))</formula>
    </cfRule>
    <cfRule type="containsText" priority="42" operator="containsText" aboveAverage="0" equalAverage="0" bottom="0" percent="0" rank="0" text="Gevoelig" dxfId="10">
      <formula>NOT(ISERROR(SEARCH("Gevoelig",N23)))</formula>
    </cfRule>
  </conditionalFormatting>
  <dataValidations count="2">
    <dataValidation allowBlank="true" errorStyle="stop" operator="between" showDropDown="false" showErrorMessage="true" showInputMessage="true" sqref="N3 N26:P27" type="none">
      <formula1>0</formula1>
      <formula2>0</formula2>
    </dataValidation>
    <dataValidation allowBlank="true" errorStyle="stop" operator="between" showDropDown="false" showErrorMessage="true" showInputMessage="true" sqref="F85" type="list">
      <formula1>"1,2,3,4,5,6,7,8"</formula1>
      <formula2>0</formula2>
    </dataValidation>
  </dataValidation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66"/>
  <sheetViews>
    <sheetView showFormulas="false" showGridLines="true" showRowColHeaders="true" showZeros="true" rightToLeft="false" tabSelected="true" showOutlineSymbols="true" defaultGridColor="true" view="normal" topLeftCell="A6" colorId="64" zoomScale="80" zoomScaleNormal="80" zoomScalePageLayoutView="100" workbookViewId="0">
      <selection pane="topLeft" activeCell="N10" activeCellId="0" sqref="N10"/>
    </sheetView>
  </sheetViews>
  <sheetFormatPr defaultColWidth="8.00390625" defaultRowHeight="12.75" zeroHeight="true" outlineLevelRow="0" outlineLevelCol="0"/>
  <cols>
    <col collapsed="false" customWidth="true" hidden="false" outlineLevel="0" max="2" min="1" style="247" width="7.12"/>
    <col collapsed="false" customWidth="true" hidden="false" outlineLevel="0" max="3" min="3" style="247" width="4.12"/>
    <col collapsed="false" customWidth="true" hidden="false" outlineLevel="0" max="4" min="4" style="247" width="5.12"/>
    <col collapsed="false" customWidth="true" hidden="false" outlineLevel="0" max="5" min="5" style="247" width="7.5"/>
    <col collapsed="false" customWidth="true" hidden="false" outlineLevel="0" max="6" min="6" style="247" width="10.5"/>
    <col collapsed="false" customWidth="true" hidden="false" outlineLevel="0" max="7" min="7" style="247" width="6.12"/>
    <col collapsed="false" customWidth="true" hidden="false" outlineLevel="0" max="8" min="8" style="247" width="9"/>
    <col collapsed="false" customWidth="true" hidden="false" outlineLevel="0" max="9" min="9" style="247" width="7.12"/>
    <col collapsed="false" customWidth="true" hidden="false" outlineLevel="0" max="10" min="10" style="247" width="6.5"/>
    <col collapsed="false" customWidth="true" hidden="false" outlineLevel="0" max="11" min="11" style="247" width="7.62"/>
    <col collapsed="false" customWidth="true" hidden="false" outlineLevel="0" max="12" min="12" style="247" width="4.62"/>
    <col collapsed="false" customWidth="true" hidden="false" outlineLevel="0" max="13" min="13" style="247" width="16.12"/>
    <col collapsed="false" customWidth="true" hidden="false" outlineLevel="0" max="14" min="14" style="247" width="5.12"/>
    <col collapsed="false" customWidth="true" hidden="false" outlineLevel="0" max="15" min="15" style="247" width="7.12"/>
    <col collapsed="false" customWidth="true" hidden="false" outlineLevel="0" max="16" min="16" style="247" width="5.12"/>
    <col collapsed="false" customWidth="true" hidden="false" outlineLevel="0" max="17" min="17" style="247" width="6.62"/>
    <col collapsed="false" customWidth="true" hidden="false" outlineLevel="0" max="18" min="18" style="247" width="14.62"/>
    <col collapsed="false" customWidth="true" hidden="false" outlineLevel="0" max="35" min="19" style="247" width="7.62"/>
    <col collapsed="false" customWidth="false" hidden="false" outlineLevel="0" max="36" min="36" style="248" width="8"/>
    <col collapsed="false" customWidth="false" hidden="false" outlineLevel="0" max="37" min="37" style="249" width="8"/>
    <col collapsed="false" customWidth="false" hidden="true" outlineLevel="0" max="16384" min="38" style="250" width="8"/>
  </cols>
  <sheetData>
    <row r="1" customFormat="false" ht="11.25" hidden="false" customHeight="true" outlineLevel="0" collapsed="false">
      <c r="A1" s="251" t="str">
        <f aca="false">'Recept-voorblad'!Q1</f>
        <v>WP Lekker in de Kauw (Bird) 40(NIET AF)</v>
      </c>
      <c r="B1" s="251"/>
      <c r="C1" s="252" t="s">
        <v>97</v>
      </c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3" t="s">
        <v>39</v>
      </c>
      <c r="Q1" s="253"/>
      <c r="R1" s="253"/>
      <c r="S1" s="254" t="s">
        <v>98</v>
      </c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4"/>
      <c r="AH1" s="254"/>
      <c r="AI1" s="254"/>
      <c r="AJ1" s="254"/>
    </row>
    <row r="2" customFormat="false" ht="30" hidden="false" customHeight="true" outlineLevel="0" collapsed="false">
      <c r="A2" s="251"/>
      <c r="B2" s="251"/>
      <c r="C2" s="252"/>
      <c r="D2" s="252"/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2"/>
      <c r="P2" s="255" t="n">
        <f aca="false">'Recept-voorblad'!N23</f>
        <v>0</v>
      </c>
      <c r="Q2" s="255"/>
      <c r="R2" s="255"/>
      <c r="S2" s="254"/>
      <c r="T2" s="254"/>
      <c r="U2" s="254"/>
      <c r="V2" s="254"/>
      <c r="W2" s="254"/>
      <c r="X2" s="254"/>
      <c r="Y2" s="254"/>
      <c r="Z2" s="254"/>
      <c r="AA2" s="254"/>
      <c r="AB2" s="254"/>
      <c r="AC2" s="254"/>
      <c r="AD2" s="254"/>
      <c r="AE2" s="254"/>
      <c r="AF2" s="254"/>
      <c r="AG2" s="254"/>
      <c r="AH2" s="254"/>
      <c r="AI2" s="254"/>
      <c r="AJ2" s="254"/>
    </row>
    <row r="3" customFormat="false" ht="14.25" hidden="false" customHeight="true" outlineLevel="0" collapsed="false">
      <c r="A3" s="251"/>
      <c r="B3" s="251"/>
      <c r="C3" s="256" t="s">
        <v>2</v>
      </c>
      <c r="D3" s="256"/>
      <c r="E3" s="257" t="n">
        <f aca="false">'Recept-voorblad'!C3</f>
        <v>0</v>
      </c>
      <c r="F3" s="257"/>
      <c r="G3" s="257"/>
      <c r="H3" s="257"/>
      <c r="I3" s="257"/>
      <c r="J3" s="257"/>
      <c r="K3" s="258" t="s">
        <v>99</v>
      </c>
      <c r="L3" s="258"/>
      <c r="M3" s="258"/>
      <c r="N3" s="259" t="n">
        <f aca="false">'Recept-voorblad'!K3</f>
        <v>26225</v>
      </c>
      <c r="O3" s="259"/>
      <c r="P3" s="260" t="s">
        <v>100</v>
      </c>
      <c r="Q3" s="260"/>
      <c r="R3" s="260"/>
      <c r="S3" s="261" t="n">
        <v>1</v>
      </c>
      <c r="T3" s="261"/>
      <c r="U3" s="261" t="n">
        <v>2</v>
      </c>
      <c r="V3" s="261"/>
      <c r="W3" s="261" t="n">
        <v>3</v>
      </c>
      <c r="X3" s="261"/>
      <c r="Y3" s="261" t="n">
        <v>4</v>
      </c>
      <c r="Z3" s="261"/>
      <c r="AA3" s="261" t="n">
        <v>5</v>
      </c>
      <c r="AB3" s="261"/>
      <c r="AC3" s="261" t="n">
        <v>6</v>
      </c>
      <c r="AD3" s="261"/>
      <c r="AE3" s="261" t="n">
        <v>7</v>
      </c>
      <c r="AF3" s="261"/>
      <c r="AG3" s="261" t="n">
        <v>8</v>
      </c>
      <c r="AH3" s="261"/>
      <c r="AI3" s="261" t="n">
        <v>9</v>
      </c>
      <c r="AJ3" s="261"/>
    </row>
    <row r="4" customFormat="false" ht="14.25" hidden="false" customHeight="true" outlineLevel="0" collapsed="false">
      <c r="A4" s="251"/>
      <c r="B4" s="251"/>
      <c r="C4" s="256"/>
      <c r="D4" s="256"/>
      <c r="E4" s="257"/>
      <c r="F4" s="257"/>
      <c r="G4" s="257"/>
      <c r="H4" s="257"/>
      <c r="I4" s="257"/>
      <c r="J4" s="257"/>
      <c r="K4" s="258"/>
      <c r="L4" s="258"/>
      <c r="M4" s="258"/>
      <c r="N4" s="259"/>
      <c r="O4" s="259"/>
      <c r="P4" s="262" t="s">
        <v>101</v>
      </c>
      <c r="Q4" s="262"/>
      <c r="R4" s="262"/>
      <c r="S4" s="263"/>
      <c r="T4" s="263"/>
      <c r="U4" s="264"/>
      <c r="V4" s="264"/>
      <c r="W4" s="263"/>
      <c r="X4" s="263"/>
      <c r="Y4" s="264"/>
      <c r="Z4" s="264"/>
      <c r="AA4" s="263"/>
      <c r="AB4" s="263"/>
      <c r="AC4" s="265"/>
      <c r="AD4" s="265"/>
      <c r="AE4" s="265"/>
      <c r="AF4" s="265"/>
      <c r="AG4" s="265"/>
      <c r="AH4" s="265"/>
      <c r="AI4" s="265"/>
      <c r="AJ4" s="265"/>
    </row>
    <row r="5" customFormat="false" ht="14.25" hidden="false" customHeight="true" outlineLevel="0" collapsed="false">
      <c r="A5" s="251"/>
      <c r="B5" s="251"/>
      <c r="C5" s="256" t="s">
        <v>5</v>
      </c>
      <c r="D5" s="256"/>
      <c r="E5" s="266" t="n">
        <f aca="false">'Recept-voorblad'!C7</f>
        <v>0</v>
      </c>
      <c r="F5" s="266"/>
      <c r="G5" s="267" t="s">
        <v>102</v>
      </c>
      <c r="H5" s="267"/>
      <c r="I5" s="268"/>
      <c r="J5" s="268"/>
      <c r="K5" s="269" t="s">
        <v>103</v>
      </c>
      <c r="L5" s="269"/>
      <c r="M5" s="269"/>
      <c r="N5" s="270"/>
      <c r="O5" s="270"/>
      <c r="P5" s="271" t="s">
        <v>104</v>
      </c>
      <c r="Q5" s="271"/>
      <c r="R5" s="271"/>
      <c r="S5" s="272"/>
      <c r="T5" s="273"/>
      <c r="U5" s="274"/>
      <c r="V5" s="275"/>
      <c r="W5" s="272"/>
      <c r="X5" s="273"/>
      <c r="Y5" s="274"/>
      <c r="Z5" s="275"/>
      <c r="AA5" s="272"/>
      <c r="AB5" s="273"/>
      <c r="AC5" s="274"/>
      <c r="AD5" s="273"/>
      <c r="AE5" s="274"/>
      <c r="AF5" s="273"/>
      <c r="AG5" s="274"/>
      <c r="AH5" s="273"/>
      <c r="AI5" s="274"/>
      <c r="AJ5" s="273"/>
    </row>
    <row r="6" customFormat="false" ht="14.25" hidden="false" customHeight="true" outlineLevel="0" collapsed="false">
      <c r="A6" s="251"/>
      <c r="B6" s="251"/>
      <c r="C6" s="256"/>
      <c r="D6" s="256"/>
      <c r="E6" s="266"/>
      <c r="F6" s="266"/>
      <c r="G6" s="267"/>
      <c r="H6" s="267"/>
      <c r="I6" s="268"/>
      <c r="J6" s="268"/>
      <c r="K6" s="269"/>
      <c r="L6" s="269"/>
      <c r="M6" s="269"/>
      <c r="N6" s="270"/>
      <c r="O6" s="270"/>
      <c r="P6" s="276" t="s">
        <v>105</v>
      </c>
      <c r="Q6" s="276"/>
      <c r="R6" s="276"/>
      <c r="S6" s="277"/>
      <c r="T6" s="277"/>
      <c r="U6" s="277"/>
      <c r="V6" s="277"/>
      <c r="W6" s="277"/>
      <c r="X6" s="277"/>
      <c r="Y6" s="277"/>
      <c r="Z6" s="277"/>
      <c r="AA6" s="277"/>
      <c r="AB6" s="277"/>
      <c r="AC6" s="277"/>
      <c r="AD6" s="277"/>
      <c r="AE6" s="277"/>
      <c r="AF6" s="277"/>
      <c r="AG6" s="277"/>
      <c r="AH6" s="277"/>
      <c r="AI6" s="277"/>
      <c r="AJ6" s="277"/>
    </row>
    <row r="7" s="21" customFormat="true" ht="14.25" hidden="false" customHeight="true" outlineLevel="0" collapsed="false">
      <c r="A7" s="278" t="s">
        <v>97</v>
      </c>
      <c r="B7" s="278"/>
      <c r="C7" s="278"/>
      <c r="D7" s="278"/>
      <c r="E7" s="278"/>
      <c r="F7" s="278"/>
      <c r="G7" s="278"/>
      <c r="H7" s="278"/>
      <c r="I7" s="279" t="s">
        <v>106</v>
      </c>
      <c r="J7" s="279"/>
      <c r="K7" s="279"/>
      <c r="L7" s="279"/>
      <c r="M7" s="279"/>
      <c r="N7" s="279"/>
      <c r="O7" s="279"/>
      <c r="P7" s="280" t="s">
        <v>107</v>
      </c>
      <c r="Q7" s="280"/>
      <c r="R7" s="280"/>
      <c r="S7" s="281"/>
      <c r="T7" s="282"/>
      <c r="U7" s="282"/>
      <c r="V7" s="282"/>
      <c r="W7" s="282"/>
      <c r="X7" s="282"/>
      <c r="Y7" s="282"/>
      <c r="Z7" s="282"/>
      <c r="AA7" s="282"/>
      <c r="AB7" s="282"/>
      <c r="AC7" s="282"/>
      <c r="AD7" s="283"/>
      <c r="AE7" s="282"/>
      <c r="AF7" s="283"/>
      <c r="AG7" s="282"/>
      <c r="AH7" s="283"/>
      <c r="AI7" s="282"/>
      <c r="AJ7" s="283"/>
      <c r="AK7" s="242"/>
    </row>
    <row r="8" s="21" customFormat="true" ht="14.25" hidden="false" customHeight="true" outlineLevel="0" collapsed="false">
      <c r="A8" s="284" t="str">
        <f aca="false">IF(LEFT(A1,2)="WP", "Totaal volume batch","Recept nummer braukon")</f>
        <v>Totaal volume batch</v>
      </c>
      <c r="B8" s="284"/>
      <c r="C8" s="284"/>
      <c r="D8" s="284"/>
      <c r="E8" s="284"/>
      <c r="F8" s="285"/>
      <c r="G8" s="285"/>
      <c r="H8" s="286" t="str">
        <f aca="false">IF(LEFT(A1,2)="WP", "Hl"," ")</f>
        <v>Hl</v>
      </c>
      <c r="I8" s="287" t="s">
        <v>108</v>
      </c>
      <c r="J8" s="287"/>
      <c r="K8" s="287"/>
      <c r="L8" s="287"/>
      <c r="M8" s="287"/>
      <c r="N8" s="288"/>
      <c r="O8" s="289" t="s">
        <v>109</v>
      </c>
      <c r="P8" s="290" t="s">
        <v>110</v>
      </c>
      <c r="Q8" s="290"/>
      <c r="R8" s="290"/>
      <c r="S8" s="291"/>
      <c r="T8" s="292" t="s">
        <v>111</v>
      </c>
      <c r="U8" s="291"/>
      <c r="V8" s="292" t="s">
        <v>111</v>
      </c>
      <c r="W8" s="291"/>
      <c r="X8" s="292" t="s">
        <v>111</v>
      </c>
      <c r="Y8" s="293"/>
      <c r="Z8" s="292" t="s">
        <v>111</v>
      </c>
      <c r="AA8" s="291"/>
      <c r="AB8" s="292" t="s">
        <v>111</v>
      </c>
      <c r="AC8" s="293"/>
      <c r="AD8" s="292" t="s">
        <v>111</v>
      </c>
      <c r="AE8" s="293"/>
      <c r="AF8" s="292" t="s">
        <v>111</v>
      </c>
      <c r="AG8" s="293"/>
      <c r="AH8" s="292" t="s">
        <v>111</v>
      </c>
      <c r="AI8" s="293"/>
      <c r="AJ8" s="292" t="s">
        <v>111</v>
      </c>
      <c r="AK8" s="242"/>
    </row>
    <row r="9" s="21" customFormat="true" ht="14.25" hidden="false" customHeight="true" outlineLevel="0" collapsed="false">
      <c r="A9" s="294" t="s">
        <v>112</v>
      </c>
      <c r="B9" s="294"/>
      <c r="C9" s="294"/>
      <c r="D9" s="294"/>
      <c r="E9" s="294"/>
      <c r="F9" s="295"/>
      <c r="G9" s="295"/>
      <c r="H9" s="295"/>
      <c r="I9" s="296" t="s">
        <v>113</v>
      </c>
      <c r="J9" s="296"/>
      <c r="K9" s="296"/>
      <c r="L9" s="296"/>
      <c r="M9" s="296"/>
      <c r="N9" s="297" t="n">
        <f aca="false">'Recept-voorblad'!F13</f>
        <v>0</v>
      </c>
      <c r="O9" s="298" t="s">
        <v>109</v>
      </c>
      <c r="P9" s="299" t="s">
        <v>114</v>
      </c>
      <c r="Q9" s="299"/>
      <c r="R9" s="299"/>
      <c r="S9" s="300"/>
      <c r="T9" s="301"/>
      <c r="U9" s="300"/>
      <c r="V9" s="301"/>
      <c r="W9" s="300"/>
      <c r="X9" s="301"/>
      <c r="Y9" s="300"/>
      <c r="Z9" s="301"/>
      <c r="AA9" s="300"/>
      <c r="AB9" s="301"/>
      <c r="AC9" s="300"/>
      <c r="AD9" s="301"/>
      <c r="AE9" s="300"/>
      <c r="AF9" s="301"/>
      <c r="AG9" s="300"/>
      <c r="AH9" s="301"/>
      <c r="AI9" s="300"/>
      <c r="AJ9" s="301"/>
      <c r="AK9" s="242"/>
    </row>
    <row r="10" s="21" customFormat="true" ht="14.25" hidden="false" customHeight="true" outlineLevel="0" collapsed="false">
      <c r="A10" s="302" t="str">
        <f aca="false">IF(LEFT(A1,2)="WP", "Stort special bin kg","Maischwater")</f>
        <v>Stort special bin kg</v>
      </c>
      <c r="B10" s="302"/>
      <c r="C10" s="302"/>
      <c r="D10" s="302"/>
      <c r="E10" s="302"/>
      <c r="F10" s="303"/>
      <c r="G10" s="303"/>
      <c r="H10" s="304" t="str">
        <f aca="false">IF(LEFT(A1,2)="WP", "kg","hl")</f>
        <v>kg</v>
      </c>
      <c r="I10" s="296" t="str">
        <f aca="false">IF(LEFT(A1,2)="WP", "Maischwater"," ")</f>
        <v>Maischwater</v>
      </c>
      <c r="J10" s="296"/>
      <c r="K10" s="296"/>
      <c r="L10" s="296"/>
      <c r="M10" s="296"/>
      <c r="N10" s="297"/>
      <c r="O10" s="305" t="str">
        <f aca="false">IF(LEFT(A1,2)="WP", "hl","")</f>
        <v>hl</v>
      </c>
      <c r="P10" s="306" t="s">
        <v>115</v>
      </c>
      <c r="Q10" s="306"/>
      <c r="R10" s="306"/>
      <c r="S10" s="307"/>
      <c r="T10" s="308" t="str">
        <f aca="false">IF(LEFT(A1,2)="WP","liter","ml")</f>
        <v>liter</v>
      </c>
      <c r="U10" s="307"/>
      <c r="V10" s="309" t="str">
        <f aca="false">IF(LEFT(A1,2)="WP","liter","ml")</f>
        <v>liter</v>
      </c>
      <c r="W10" s="307"/>
      <c r="X10" s="310" t="str">
        <f aca="false">IF(LEFT(A1,2)="WP","liter","ml")</f>
        <v>liter</v>
      </c>
      <c r="Y10" s="307"/>
      <c r="Z10" s="309" t="str">
        <f aca="false">IF(LEFT(A1,2)="WP","liter","ml")</f>
        <v>liter</v>
      </c>
      <c r="AA10" s="307"/>
      <c r="AB10" s="309" t="str">
        <f aca="false">IF(LEFT(A1,2)="WP","liter","ml")</f>
        <v>liter</v>
      </c>
      <c r="AC10" s="307"/>
      <c r="AD10" s="309" t="str">
        <f aca="false">IF(LEFT(A1,2)="WP","liter","ml")</f>
        <v>liter</v>
      </c>
      <c r="AE10" s="307"/>
      <c r="AF10" s="309" t="str">
        <f aca="false">IF(LEFT(A1,2)="WP","liter","ml")</f>
        <v>liter</v>
      </c>
      <c r="AG10" s="307"/>
      <c r="AH10" s="309" t="str">
        <f aca="false">IF(LEFT(A1,2)="WP","liter","ml")</f>
        <v>liter</v>
      </c>
      <c r="AI10" s="307"/>
      <c r="AJ10" s="309" t="str">
        <f aca="false">IF(LEFT(A1,2)="WP","liter","ml")</f>
        <v>liter</v>
      </c>
      <c r="AK10" s="242"/>
    </row>
    <row r="11" s="21" customFormat="true" ht="14.25" hidden="false" customHeight="true" outlineLevel="0" collapsed="false">
      <c r="A11" s="302" t="str">
        <f aca="false">IF(LEFT(A1,2)="WP", "Naam special bin storting"," ")</f>
        <v>Naam special bin storting</v>
      </c>
      <c r="B11" s="302"/>
      <c r="C11" s="302"/>
      <c r="D11" s="302"/>
      <c r="E11" s="302"/>
      <c r="F11" s="311"/>
      <c r="G11" s="311"/>
      <c r="H11" s="311"/>
      <c r="I11" s="296" t="s">
        <v>116</v>
      </c>
      <c r="J11" s="296"/>
      <c r="K11" s="296"/>
      <c r="L11" s="296"/>
      <c r="M11" s="296"/>
      <c r="N11" s="312"/>
      <c r="O11" s="312"/>
      <c r="P11" s="299" t="s">
        <v>117</v>
      </c>
      <c r="Q11" s="299"/>
      <c r="R11" s="299"/>
      <c r="S11" s="313"/>
      <c r="T11" s="314"/>
      <c r="U11" s="313"/>
      <c r="V11" s="314"/>
      <c r="W11" s="313"/>
      <c r="X11" s="314"/>
      <c r="Y11" s="313"/>
      <c r="Z11" s="314"/>
      <c r="AA11" s="313"/>
      <c r="AB11" s="314"/>
      <c r="AC11" s="313"/>
      <c r="AD11" s="314"/>
      <c r="AE11" s="313"/>
      <c r="AF11" s="314"/>
      <c r="AG11" s="313"/>
      <c r="AH11" s="314"/>
      <c r="AI11" s="313"/>
      <c r="AJ11" s="314"/>
      <c r="AK11" s="242"/>
    </row>
    <row r="12" s="21" customFormat="true" ht="14.25" hidden="false" customHeight="true" outlineLevel="0" collapsed="false">
      <c r="A12" s="294" t="s">
        <v>118</v>
      </c>
      <c r="B12" s="294"/>
      <c r="C12" s="294"/>
      <c r="D12" s="294"/>
      <c r="E12" s="294"/>
      <c r="F12" s="315" t="e">
        <f aca="false">"1 :"&amp;ROUNDUP(IF(LEFT(A1,2)="WP",(N10*100)/'Recept-voorblad'!D40,(F10*100)/'Recept-voorblad'!D40),2)</f>
        <v>#DIV/0!</v>
      </c>
      <c r="G12" s="315"/>
      <c r="H12" s="315"/>
      <c r="I12" s="296" t="s">
        <v>119</v>
      </c>
      <c r="J12" s="296"/>
      <c r="K12" s="296"/>
      <c r="L12" s="296"/>
      <c r="M12" s="296"/>
      <c r="N12" s="312"/>
      <c r="O12" s="312"/>
      <c r="P12" s="299" t="s">
        <v>120</v>
      </c>
      <c r="Q12" s="299"/>
      <c r="R12" s="299"/>
      <c r="S12" s="316"/>
      <c r="T12" s="316"/>
      <c r="U12" s="316"/>
      <c r="V12" s="316"/>
      <c r="W12" s="316"/>
      <c r="X12" s="316"/>
      <c r="Y12" s="316"/>
      <c r="Z12" s="316"/>
      <c r="AA12" s="316"/>
      <c r="AB12" s="316"/>
      <c r="AC12" s="316"/>
      <c r="AD12" s="316"/>
      <c r="AE12" s="316"/>
      <c r="AF12" s="316"/>
      <c r="AG12" s="316"/>
      <c r="AH12" s="316"/>
      <c r="AI12" s="316"/>
      <c r="AJ12" s="316"/>
      <c r="AK12" s="242"/>
    </row>
    <row r="13" s="21" customFormat="true" ht="14.25" hidden="false" customHeight="true" outlineLevel="0" collapsed="false">
      <c r="A13" s="294" t="str">
        <f aca="false">IF(LEFT(A1,2)="WP", "Cumm. Corp./sparging vol."," ")</f>
        <v>Cumm. Corp./sparging vol.</v>
      </c>
      <c r="B13" s="294"/>
      <c r="C13" s="294"/>
      <c r="D13" s="294"/>
      <c r="E13" s="294"/>
      <c r="F13" s="303"/>
      <c r="G13" s="303"/>
      <c r="H13" s="21" t="str">
        <f aca="false">IF(LEFT(A1,2)="WP", "hl"," ")</f>
        <v>hl</v>
      </c>
      <c r="I13" s="296" t="s">
        <v>121</v>
      </c>
      <c r="J13" s="296"/>
      <c r="K13" s="296"/>
      <c r="L13" s="296"/>
      <c r="M13" s="296"/>
      <c r="N13" s="312"/>
      <c r="O13" s="312"/>
      <c r="P13" s="317" t="s">
        <v>122</v>
      </c>
      <c r="Q13" s="317"/>
      <c r="R13" s="317"/>
      <c r="S13" s="318"/>
      <c r="T13" s="318"/>
      <c r="U13" s="318"/>
      <c r="V13" s="318"/>
      <c r="W13" s="318"/>
      <c r="X13" s="318"/>
      <c r="Y13" s="318"/>
      <c r="Z13" s="318"/>
      <c r="AA13" s="318"/>
      <c r="AB13" s="318"/>
      <c r="AC13" s="318"/>
      <c r="AD13" s="318"/>
      <c r="AE13" s="318"/>
      <c r="AF13" s="318"/>
      <c r="AG13" s="318"/>
      <c r="AH13" s="318"/>
      <c r="AI13" s="318"/>
      <c r="AJ13" s="318"/>
      <c r="AK13" s="242"/>
    </row>
    <row r="14" s="21" customFormat="true" ht="14.25" hidden="false" customHeight="true" outlineLevel="0" collapsed="false">
      <c r="A14" s="294" t="s">
        <v>9</v>
      </c>
      <c r="B14" s="294"/>
      <c r="C14" s="294"/>
      <c r="D14" s="294"/>
      <c r="E14" s="294"/>
      <c r="F14" s="319" t="n">
        <f aca="false">'Recept-voorblad'!C9</f>
        <v>0</v>
      </c>
      <c r="G14" s="319"/>
      <c r="H14" s="304" t="s">
        <v>111</v>
      </c>
      <c r="I14" s="296" t="s">
        <v>123</v>
      </c>
      <c r="J14" s="296"/>
      <c r="K14" s="296"/>
      <c r="L14" s="296"/>
      <c r="M14" s="296"/>
      <c r="N14" s="320"/>
      <c r="O14" s="298" t="str">
        <f aca="false">IF(LEFT(A1,2)="WP", "ppm","l/h")</f>
        <v>ppm</v>
      </c>
      <c r="P14" s="321" t="s">
        <v>124</v>
      </c>
      <c r="Q14" s="321"/>
      <c r="R14" s="321"/>
      <c r="S14" s="322"/>
      <c r="T14" s="323" t="s">
        <v>111</v>
      </c>
      <c r="U14" s="322"/>
      <c r="V14" s="323" t="s">
        <v>111</v>
      </c>
      <c r="W14" s="322"/>
      <c r="X14" s="323" t="s">
        <v>111</v>
      </c>
      <c r="Y14" s="322"/>
      <c r="Z14" s="323" t="s">
        <v>111</v>
      </c>
      <c r="AA14" s="322"/>
      <c r="AB14" s="323" t="s">
        <v>111</v>
      </c>
      <c r="AC14" s="322"/>
      <c r="AD14" s="323" t="s">
        <v>111</v>
      </c>
      <c r="AE14" s="322"/>
      <c r="AF14" s="323" t="s">
        <v>111</v>
      </c>
      <c r="AG14" s="322"/>
      <c r="AH14" s="323" t="s">
        <v>111</v>
      </c>
      <c r="AI14" s="322"/>
      <c r="AJ14" s="323" t="s">
        <v>111</v>
      </c>
      <c r="AK14" s="242"/>
    </row>
    <row r="15" s="21" customFormat="true" ht="14.25" hidden="false" customHeight="true" outlineLevel="0" collapsed="false">
      <c r="A15" s="324" t="s">
        <v>125</v>
      </c>
      <c r="B15" s="325"/>
      <c r="C15" s="325"/>
      <c r="D15" s="325"/>
      <c r="E15" s="326"/>
      <c r="F15" s="297"/>
      <c r="G15" s="297"/>
      <c r="H15" s="304" t="s">
        <v>16</v>
      </c>
      <c r="I15" s="327" t="s">
        <v>126</v>
      </c>
      <c r="J15" s="327"/>
      <c r="K15" s="327"/>
      <c r="L15" s="327"/>
      <c r="M15" s="327"/>
      <c r="N15" s="328" t="n">
        <f aca="false">'Recept-voorblad'!F21</f>
        <v>0</v>
      </c>
      <c r="O15" s="329" t="s">
        <v>36</v>
      </c>
      <c r="P15" s="280" t="s">
        <v>127</v>
      </c>
      <c r="Q15" s="280"/>
      <c r="R15" s="280"/>
      <c r="S15" s="330"/>
      <c r="T15" s="331"/>
      <c r="U15" s="331"/>
      <c r="V15" s="331"/>
      <c r="W15" s="331"/>
      <c r="X15" s="331"/>
      <c r="Y15" s="331"/>
      <c r="Z15" s="331"/>
      <c r="AA15" s="331"/>
      <c r="AB15" s="331"/>
      <c r="AC15" s="331"/>
      <c r="AD15" s="332"/>
      <c r="AE15" s="331"/>
      <c r="AF15" s="332"/>
      <c r="AG15" s="331"/>
      <c r="AH15" s="332"/>
      <c r="AI15" s="331"/>
      <c r="AJ15" s="332"/>
      <c r="AK15" s="242"/>
    </row>
    <row r="16" s="21" customFormat="true" ht="14.25" hidden="false" customHeight="true" outlineLevel="0" collapsed="false">
      <c r="A16" s="333" t="s">
        <v>128</v>
      </c>
      <c r="B16" s="334"/>
      <c r="C16" s="334"/>
      <c r="D16" s="334"/>
      <c r="E16" s="335"/>
      <c r="F16" s="336"/>
      <c r="G16" s="336"/>
      <c r="H16" s="304" t="s">
        <v>111</v>
      </c>
      <c r="I16" s="269" t="str">
        <f aca="false">IF(LEFT(A1,2)="WP", "Sparging instellingen","Filtratie volumes")</f>
        <v>Sparging instellingen</v>
      </c>
      <c r="J16" s="269"/>
      <c r="K16" s="269"/>
      <c r="L16" s="269"/>
      <c r="M16" s="269"/>
      <c r="N16" s="269"/>
      <c r="O16" s="269"/>
      <c r="P16" s="262" t="s">
        <v>129</v>
      </c>
      <c r="Q16" s="262"/>
      <c r="R16" s="262"/>
      <c r="S16" s="337"/>
      <c r="T16" s="338" t="s">
        <v>16</v>
      </c>
      <c r="U16" s="337"/>
      <c r="V16" s="338" t="s">
        <v>16</v>
      </c>
      <c r="W16" s="337"/>
      <c r="X16" s="338" t="s">
        <v>16</v>
      </c>
      <c r="Y16" s="337"/>
      <c r="Z16" s="338" t="s">
        <v>16</v>
      </c>
      <c r="AA16" s="339"/>
      <c r="AB16" s="338" t="s">
        <v>16</v>
      </c>
      <c r="AC16" s="339"/>
      <c r="AD16" s="338" t="s">
        <v>16</v>
      </c>
      <c r="AE16" s="339"/>
      <c r="AF16" s="338" t="s">
        <v>16</v>
      </c>
      <c r="AG16" s="339"/>
      <c r="AH16" s="338" t="s">
        <v>16</v>
      </c>
      <c r="AI16" s="339"/>
      <c r="AJ16" s="338" t="s">
        <v>16</v>
      </c>
      <c r="AK16" s="242"/>
    </row>
    <row r="17" s="21" customFormat="true" ht="14.25" hidden="false" customHeight="true" outlineLevel="0" collapsed="false">
      <c r="A17" s="333" t="s">
        <v>130</v>
      </c>
      <c r="B17" s="334"/>
      <c r="C17" s="334"/>
      <c r="D17" s="334"/>
      <c r="E17" s="335"/>
      <c r="F17" s="319"/>
      <c r="G17" s="319"/>
      <c r="H17" s="304" t="s">
        <v>36</v>
      </c>
      <c r="I17" s="284" t="str">
        <f aca="false">IF(LEFT(A1,2)="WP", "sparging 1e","1e afloop")</f>
        <v>sparging 1e</v>
      </c>
      <c r="J17" s="284"/>
      <c r="K17" s="284"/>
      <c r="L17" s="284"/>
      <c r="M17" s="284"/>
      <c r="N17" s="289"/>
      <c r="O17" s="289" t="str">
        <f aca="false">IF(LEFT(A1,2)="WP", "hl/h","Hl")</f>
        <v>hl/h</v>
      </c>
      <c r="P17" s="271" t="s">
        <v>131</v>
      </c>
      <c r="Q17" s="271"/>
      <c r="R17" s="271"/>
      <c r="S17" s="340"/>
      <c r="T17" s="341" t="s">
        <v>16</v>
      </c>
      <c r="U17" s="340"/>
      <c r="V17" s="341" t="s">
        <v>16</v>
      </c>
      <c r="W17" s="340"/>
      <c r="X17" s="341" t="s">
        <v>16</v>
      </c>
      <c r="Y17" s="340"/>
      <c r="Z17" s="341" t="s">
        <v>16</v>
      </c>
      <c r="AA17" s="342"/>
      <c r="AB17" s="341" t="s">
        <v>16</v>
      </c>
      <c r="AC17" s="342"/>
      <c r="AD17" s="341" t="s">
        <v>16</v>
      </c>
      <c r="AE17" s="342"/>
      <c r="AF17" s="341" t="s">
        <v>16</v>
      </c>
      <c r="AG17" s="342"/>
      <c r="AH17" s="341" t="s">
        <v>16</v>
      </c>
      <c r="AI17" s="342"/>
      <c r="AJ17" s="341" t="s">
        <v>16</v>
      </c>
      <c r="AK17" s="242"/>
    </row>
    <row r="18" s="21" customFormat="true" ht="14.25" hidden="false" customHeight="true" outlineLevel="0" collapsed="false">
      <c r="A18" s="324" t="str">
        <f aca="false">IF(LEFT(A1,2)="WP", "Volume water aditie terug koeling","Totaal volume brouwsel ")</f>
        <v>Volume water aditie terug koeling</v>
      </c>
      <c r="B18" s="325"/>
      <c r="C18" s="325"/>
      <c r="D18" s="325"/>
      <c r="E18" s="326"/>
      <c r="F18" s="320"/>
      <c r="G18" s="320"/>
      <c r="H18" s="304" t="s">
        <v>111</v>
      </c>
      <c r="I18" s="302" t="str">
        <f aca="false">IF(LEFT(A1,2)="WP", "sparging 2e","Spoelwater")</f>
        <v>sparging 2e</v>
      </c>
      <c r="J18" s="302"/>
      <c r="K18" s="302"/>
      <c r="L18" s="302"/>
      <c r="M18" s="302"/>
      <c r="N18" s="298"/>
      <c r="O18" s="298" t="str">
        <f aca="false">O17</f>
        <v>hl/h</v>
      </c>
      <c r="P18" s="271" t="s">
        <v>132</v>
      </c>
      <c r="Q18" s="271"/>
      <c r="R18" s="271"/>
      <c r="S18" s="343"/>
      <c r="T18" s="309" t="s">
        <v>111</v>
      </c>
      <c r="U18" s="343"/>
      <c r="V18" s="309" t="s">
        <v>111</v>
      </c>
      <c r="W18" s="343"/>
      <c r="X18" s="309" t="s">
        <v>111</v>
      </c>
      <c r="Y18" s="343"/>
      <c r="Z18" s="309" t="s">
        <v>111</v>
      </c>
      <c r="AA18" s="343"/>
      <c r="AB18" s="309" t="s">
        <v>111</v>
      </c>
      <c r="AC18" s="343"/>
      <c r="AD18" s="309" t="s">
        <v>111</v>
      </c>
      <c r="AE18" s="343"/>
      <c r="AF18" s="309" t="s">
        <v>111</v>
      </c>
      <c r="AG18" s="343"/>
      <c r="AH18" s="309" t="s">
        <v>111</v>
      </c>
      <c r="AI18" s="343"/>
      <c r="AJ18" s="309" t="s">
        <v>111</v>
      </c>
      <c r="AK18" s="242"/>
    </row>
    <row r="19" s="21" customFormat="true" ht="14.25" hidden="false" customHeight="true" outlineLevel="0" collapsed="false">
      <c r="A19" s="333" t="str">
        <f aca="false">IF(LEFT(A1,2)="WP", "Eindvolume brouwsel","Eindvolume in CKT")</f>
        <v>Eindvolume brouwsel</v>
      </c>
      <c r="B19" s="334"/>
      <c r="C19" s="334"/>
      <c r="D19" s="334"/>
      <c r="E19" s="335"/>
      <c r="F19" s="319" t="n">
        <f aca="false">IF(LEFT(A1,2)="WP", 'Recept-voorblad'!C9,'Recept-voorblad'!C9*'Recept-voorblad'!G7)</f>
        <v>0</v>
      </c>
      <c r="G19" s="319"/>
      <c r="H19" s="304" t="s">
        <v>111</v>
      </c>
      <c r="I19" s="302" t="str">
        <f aca="false">IF(LEFT(A1,2)="WP", "sparging 3e","Spoel afloop")</f>
        <v>sparging 3e</v>
      </c>
      <c r="J19" s="302"/>
      <c r="K19" s="302"/>
      <c r="L19" s="302"/>
      <c r="M19" s="302"/>
      <c r="N19" s="298"/>
      <c r="O19" s="298" t="str">
        <f aca="false">O18</f>
        <v>hl/h</v>
      </c>
      <c r="P19" s="271" t="str">
        <f aca="false">IF(LEFT(A1,2)="WP", "Cumm, Sparging vol,","spoelwater")</f>
        <v>Cumm, Sparging vol,</v>
      </c>
      <c r="Q19" s="271"/>
      <c r="R19" s="271"/>
      <c r="S19" s="343"/>
      <c r="T19" s="344" t="s">
        <v>111</v>
      </c>
      <c r="U19" s="343"/>
      <c r="V19" s="344" t="s">
        <v>111</v>
      </c>
      <c r="W19" s="343"/>
      <c r="X19" s="344" t="s">
        <v>111</v>
      </c>
      <c r="Y19" s="343"/>
      <c r="Z19" s="344" t="s">
        <v>111</v>
      </c>
      <c r="AA19" s="343"/>
      <c r="AB19" s="344" t="s">
        <v>111</v>
      </c>
      <c r="AC19" s="343"/>
      <c r="AD19" s="344" t="s">
        <v>111</v>
      </c>
      <c r="AE19" s="343"/>
      <c r="AF19" s="344" t="s">
        <v>111</v>
      </c>
      <c r="AG19" s="343"/>
      <c r="AH19" s="344" t="s">
        <v>111</v>
      </c>
      <c r="AI19" s="343"/>
      <c r="AJ19" s="344" t="s">
        <v>111</v>
      </c>
      <c r="AK19" s="242"/>
    </row>
    <row r="20" s="21" customFormat="true" ht="14.25" hidden="false" customHeight="true" outlineLevel="0" collapsed="false">
      <c r="A20" s="324" t="s">
        <v>133</v>
      </c>
      <c r="B20" s="325"/>
      <c r="C20" s="325"/>
      <c r="D20" s="325"/>
      <c r="E20" s="326"/>
      <c r="F20" s="320"/>
      <c r="G20" s="320"/>
      <c r="H20" s="304" t="s">
        <v>57</v>
      </c>
      <c r="I20" s="302" t="str">
        <f aca="false">IF(LEFT(A1,2)="WP", "sparging 4e","Totaal gefiltreerd volume")</f>
        <v>sparging 4e</v>
      </c>
      <c r="J20" s="302"/>
      <c r="K20" s="302"/>
      <c r="L20" s="302"/>
      <c r="M20" s="302"/>
      <c r="N20" s="298"/>
      <c r="O20" s="345" t="str">
        <f aca="false">O17</f>
        <v>hl/h</v>
      </c>
      <c r="P20" s="271" t="str">
        <f aca="false">IF(LEFT(A1,2)="WP", "Last run pH","Spoelafloop")</f>
        <v>Last run pH</v>
      </c>
      <c r="Q20" s="346"/>
      <c r="R20" s="346"/>
      <c r="S20" s="347"/>
      <c r="T20" s="348"/>
      <c r="U20" s="347"/>
      <c r="V20" s="348"/>
      <c r="W20" s="347"/>
      <c r="X20" s="349"/>
      <c r="Y20" s="347"/>
      <c r="Z20" s="349"/>
      <c r="AA20" s="347"/>
      <c r="AB20" s="349"/>
      <c r="AC20" s="347"/>
      <c r="AD20" s="349"/>
      <c r="AE20" s="347"/>
      <c r="AF20" s="349"/>
      <c r="AG20" s="347"/>
      <c r="AH20" s="349"/>
      <c r="AI20" s="347"/>
      <c r="AJ20" s="349"/>
      <c r="AK20" s="242"/>
    </row>
    <row r="21" s="21" customFormat="true" ht="14.25" hidden="false" customHeight="true" outlineLevel="0" collapsed="false">
      <c r="A21" s="324" t="s">
        <v>134</v>
      </c>
      <c r="B21" s="325"/>
      <c r="C21" s="325"/>
      <c r="D21" s="325"/>
      <c r="E21" s="326"/>
      <c r="F21" s="319"/>
      <c r="G21" s="319"/>
      <c r="H21" s="304" t="s">
        <v>135</v>
      </c>
      <c r="I21" s="350" t="str">
        <f aca="false">IF(LEFT(A1,2)="WP", "Aantal kamers Mash Filter","Lauterfactor")</f>
        <v>Aantal kamers Mash Filter</v>
      </c>
      <c r="J21" s="350"/>
      <c r="K21" s="350"/>
      <c r="L21" s="350"/>
      <c r="M21" s="350"/>
      <c r="N21" s="350"/>
      <c r="O21" s="350"/>
      <c r="P21" s="351" t="s">
        <v>136</v>
      </c>
      <c r="Q21" s="351"/>
      <c r="R21" s="351"/>
      <c r="S21" s="352"/>
      <c r="T21" s="353" t="s">
        <v>137</v>
      </c>
      <c r="U21" s="352"/>
      <c r="V21" s="353" t="s">
        <v>137</v>
      </c>
      <c r="W21" s="352"/>
      <c r="X21" s="354" t="s">
        <v>137</v>
      </c>
      <c r="Y21" s="352"/>
      <c r="Z21" s="354" t="s">
        <v>137</v>
      </c>
      <c r="AA21" s="352"/>
      <c r="AB21" s="354" t="s">
        <v>137</v>
      </c>
      <c r="AC21" s="352"/>
      <c r="AD21" s="354" t="s">
        <v>137</v>
      </c>
      <c r="AE21" s="352"/>
      <c r="AF21" s="354" t="s">
        <v>137</v>
      </c>
      <c r="AG21" s="352"/>
      <c r="AH21" s="354" t="s">
        <v>137</v>
      </c>
      <c r="AI21" s="352"/>
      <c r="AJ21" s="354" t="s">
        <v>137</v>
      </c>
      <c r="AK21" s="242"/>
    </row>
    <row r="22" s="21" customFormat="true" ht="14.25" hidden="false" customHeight="true" outlineLevel="0" collapsed="false">
      <c r="A22" s="355" t="s">
        <v>138</v>
      </c>
      <c r="B22" s="355"/>
      <c r="C22" s="355"/>
      <c r="D22" s="355"/>
      <c r="E22" s="356"/>
      <c r="F22" s="357"/>
      <c r="G22" s="357"/>
      <c r="H22" s="358" t="str">
        <f aca="false">IF(LEFT(A1,2)="WP", " ","min")</f>
        <v> </v>
      </c>
      <c r="I22" s="359"/>
      <c r="J22" s="359"/>
      <c r="K22" s="359"/>
      <c r="L22" s="359"/>
      <c r="M22" s="359"/>
      <c r="N22" s="359"/>
      <c r="O22" s="359"/>
      <c r="P22" s="360" t="s">
        <v>139</v>
      </c>
      <c r="Q22" s="360"/>
      <c r="R22" s="360"/>
      <c r="S22" s="361"/>
      <c r="T22" s="362"/>
      <c r="U22" s="362"/>
      <c r="V22" s="362"/>
      <c r="W22" s="362"/>
      <c r="X22" s="362"/>
      <c r="Y22" s="362"/>
      <c r="Z22" s="362"/>
      <c r="AA22" s="362"/>
      <c r="AB22" s="362"/>
      <c r="AC22" s="362"/>
      <c r="AD22" s="363"/>
      <c r="AE22" s="362"/>
      <c r="AF22" s="363"/>
      <c r="AG22" s="362"/>
      <c r="AH22" s="363"/>
      <c r="AI22" s="362"/>
      <c r="AJ22" s="363"/>
      <c r="AK22" s="242"/>
    </row>
    <row r="23" s="21" customFormat="true" ht="14.25" hidden="false" customHeight="true" outlineLevel="0" collapsed="false">
      <c r="A23" s="350" t="s">
        <v>140</v>
      </c>
      <c r="B23" s="350"/>
      <c r="C23" s="350"/>
      <c r="D23" s="350"/>
      <c r="E23" s="350"/>
      <c r="F23" s="350"/>
      <c r="G23" s="350"/>
      <c r="H23" s="350"/>
      <c r="I23" s="350" t="str">
        <f aca="false">IF(LEFT(A1,2)="WP", "Toevoegingen:","Extra toevoegingen")</f>
        <v>Toevoegingen:</v>
      </c>
      <c r="J23" s="350"/>
      <c r="K23" s="350"/>
      <c r="L23" s="350"/>
      <c r="M23" s="350"/>
      <c r="N23" s="350"/>
      <c r="O23" s="350"/>
      <c r="P23" s="262" t="s">
        <v>141</v>
      </c>
      <c r="Q23" s="262"/>
      <c r="R23" s="262"/>
      <c r="S23" s="364"/>
      <c r="T23" s="364"/>
      <c r="U23" s="364"/>
      <c r="V23" s="364"/>
      <c r="W23" s="364"/>
      <c r="X23" s="364"/>
      <c r="Y23" s="364"/>
      <c r="Z23" s="364"/>
      <c r="AA23" s="364"/>
      <c r="AB23" s="364"/>
      <c r="AC23" s="364"/>
      <c r="AD23" s="364"/>
      <c r="AE23" s="364"/>
      <c r="AF23" s="364"/>
      <c r="AG23" s="364"/>
      <c r="AH23" s="364"/>
      <c r="AI23" s="364"/>
      <c r="AJ23" s="364"/>
      <c r="AK23" s="242"/>
    </row>
    <row r="24" s="21" customFormat="true" ht="14.25" hidden="false" customHeight="true" outlineLevel="0" collapsed="false">
      <c r="A24" s="365" t="s">
        <v>142</v>
      </c>
      <c r="C24" s="366"/>
      <c r="D24" s="366"/>
      <c r="E24" s="367" t="s">
        <v>143</v>
      </c>
      <c r="F24" s="368"/>
      <c r="G24" s="243" t="s">
        <v>144</v>
      </c>
      <c r="H24" s="369"/>
      <c r="I24" s="359" t="s">
        <v>145</v>
      </c>
      <c r="J24" s="359"/>
      <c r="K24" s="359"/>
      <c r="L24" s="370" t="s">
        <v>74</v>
      </c>
      <c r="M24" s="370"/>
      <c r="N24" s="370" t="s">
        <v>146</v>
      </c>
      <c r="O24" s="370"/>
      <c r="P24" s="371" t="s">
        <v>147</v>
      </c>
      <c r="Q24" s="371"/>
      <c r="R24" s="371"/>
      <c r="S24" s="347"/>
      <c r="T24" s="372" t="s">
        <v>16</v>
      </c>
      <c r="U24" s="347"/>
      <c r="V24" s="373" t="s">
        <v>16</v>
      </c>
      <c r="W24" s="347"/>
      <c r="X24" s="372" t="s">
        <v>16</v>
      </c>
      <c r="Y24" s="347"/>
      <c r="Z24" s="373" t="s">
        <v>16</v>
      </c>
      <c r="AA24" s="347"/>
      <c r="AB24" s="373" t="s">
        <v>16</v>
      </c>
      <c r="AC24" s="347"/>
      <c r="AD24" s="373" t="s">
        <v>16</v>
      </c>
      <c r="AE24" s="347"/>
      <c r="AF24" s="373" t="s">
        <v>16</v>
      </c>
      <c r="AG24" s="347"/>
      <c r="AH24" s="373" t="s">
        <v>16</v>
      </c>
      <c r="AI24" s="347"/>
      <c r="AJ24" s="373" t="s">
        <v>16</v>
      </c>
      <c r="AK24" s="374" t="e">
        <f aca="false">AVERAGE(AI24,AG24,AE24,AC24,AA24,Y24,W24,U24,S24)</f>
        <v>#DIV/0!</v>
      </c>
    </row>
    <row r="25" s="21" customFormat="true" ht="14.25" hidden="false" customHeight="true" outlineLevel="0" collapsed="false">
      <c r="A25" s="375" t="s">
        <v>148</v>
      </c>
      <c r="C25" s="376"/>
      <c r="D25" s="376"/>
      <c r="E25" s="377" t="s">
        <v>143</v>
      </c>
      <c r="F25" s="378"/>
      <c r="G25" s="243" t="s">
        <v>144</v>
      </c>
      <c r="I25" s="379" t="str">
        <f aca="false">IF(LEFT(A1,2)="WP",IF('Recept-voorblad'!A73="","",'Recept-voorblad'!A73),IF('Recept-voorblad'!A89="-","-",IF('Recept-voorblad'!A89="Revisie nummer","",'Recept-voorblad'!A89)))</f>
        <v/>
      </c>
      <c r="J25" s="379"/>
      <c r="K25" s="379"/>
      <c r="L25" s="380" t="str">
        <f aca="false">IF(LEFT($A$1,2)="WP",IF('Recept-voorblad'!E73="","",'Recept-voorblad'!E73),IF('Recept-voorblad'!E89="","",'Recept-voorblad'!E89))</f>
        <v/>
      </c>
      <c r="M25" s="380"/>
      <c r="N25" s="381" t="str">
        <f aca="false">IF(LEFT($A$1,2)="WP",IF('Recept-voorblad'!I73="","",'Recept-voorblad'!I73),IF('Recept-voorblad'!I89="","",'Recept-voorblad'!I89))</f>
        <v/>
      </c>
      <c r="O25" s="381"/>
      <c r="P25" s="371" t="s">
        <v>149</v>
      </c>
      <c r="Q25" s="371"/>
      <c r="R25" s="371"/>
      <c r="S25" s="382"/>
      <c r="T25" s="372" t="s">
        <v>111</v>
      </c>
      <c r="U25" s="382"/>
      <c r="V25" s="373" t="s">
        <v>111</v>
      </c>
      <c r="W25" s="382"/>
      <c r="X25" s="383" t="s">
        <v>111</v>
      </c>
      <c r="Y25" s="382"/>
      <c r="Z25" s="384" t="s">
        <v>111</v>
      </c>
      <c r="AA25" s="382"/>
      <c r="AB25" s="384" t="s">
        <v>111</v>
      </c>
      <c r="AC25" s="382"/>
      <c r="AD25" s="384" t="s">
        <v>111</v>
      </c>
      <c r="AE25" s="382"/>
      <c r="AF25" s="384" t="s">
        <v>111</v>
      </c>
      <c r="AG25" s="382"/>
      <c r="AH25" s="384" t="s">
        <v>111</v>
      </c>
      <c r="AI25" s="382"/>
      <c r="AJ25" s="384" t="s">
        <v>111</v>
      </c>
      <c r="AK25" s="242" t="e">
        <f aca="false">AVERAGE(AI25,AG25,AE25,AC25,AA25,Y25,W25,U25,S25)*COUNT(AI24,AG24,AE24,AC24,AA24,Y24,W24,U24,S24)</f>
        <v>#DIV/0!</v>
      </c>
    </row>
    <row r="26" s="21" customFormat="true" ht="14.25" hidden="false" customHeight="true" outlineLevel="0" collapsed="false">
      <c r="A26" s="375" t="s">
        <v>148</v>
      </c>
      <c r="B26" s="243"/>
      <c r="C26" s="376"/>
      <c r="D26" s="376"/>
      <c r="E26" s="377" t="s">
        <v>143</v>
      </c>
      <c r="F26" s="378"/>
      <c r="G26" s="243" t="s">
        <v>144</v>
      </c>
      <c r="I26" s="385" t="str">
        <f aca="false">IF(LEFT(A1,2)="WP",IF('Recept-voorblad'!A74="","",'Recept-voorblad'!A74),IF('Recept-voorblad'!A90="-","-",IF('Recept-voorblad'!A90="Revisie nummer","",'Recept-voorblad'!A90)))</f>
        <v/>
      </c>
      <c r="J26" s="385"/>
      <c r="K26" s="385"/>
      <c r="L26" s="386" t="str">
        <f aca="false">IF(LEFT($A$1,2)="WP",IF('Recept-voorblad'!E74="","",'Recept-voorblad'!E74),IF('Recept-voorblad'!E90="","",'Recept-voorblad'!E90))</f>
        <v/>
      </c>
      <c r="M26" s="386"/>
      <c r="N26" s="387" t="str">
        <f aca="false">IF(LEFT($A$1,2)="WP",IF('Recept-voorblad'!I74="","",'Recept-voorblad'!I74),IF('Recept-voorblad'!I90="","",'Recept-voorblad'!I90))</f>
        <v/>
      </c>
      <c r="O26" s="387"/>
      <c r="P26" s="371" t="s">
        <v>150</v>
      </c>
      <c r="Q26" s="371"/>
      <c r="R26" s="371"/>
      <c r="S26" s="343"/>
      <c r="T26" s="388" t="str">
        <f aca="false">IF(LEFT(A1,2)="WP", "liter","milliliter")</f>
        <v>liter</v>
      </c>
      <c r="U26" s="343"/>
      <c r="V26" s="389" t="str">
        <f aca="false">IF(LEFT(A1,2)="WP", "liter","milliliter")</f>
        <v>liter</v>
      </c>
      <c r="W26" s="343"/>
      <c r="X26" s="390" t="str">
        <f aca="false">IF(LEFT(A1,2)="WP", "liter","milliliter")</f>
        <v>liter</v>
      </c>
      <c r="Y26" s="343"/>
      <c r="Z26" s="391" t="str">
        <f aca="false">IF(LEFT(A1,2)="WP", "liter","milliliter")</f>
        <v>liter</v>
      </c>
      <c r="AA26" s="343"/>
      <c r="AB26" s="392" t="str">
        <f aca="false">IF(LEFT(A1,2)="WP", "liter","milliliter")</f>
        <v>liter</v>
      </c>
      <c r="AC26" s="343"/>
      <c r="AD26" s="392" t="str">
        <f aca="false">IF(LEFT(A1,2)="WP", "liter","milliliter")</f>
        <v>liter</v>
      </c>
      <c r="AE26" s="343"/>
      <c r="AF26" s="392" t="str">
        <f aca="false">IF(LEFT(A1,2)="WP", "liter","milliliter")</f>
        <v>liter</v>
      </c>
      <c r="AG26" s="343"/>
      <c r="AH26" s="392" t="str">
        <f aca="false">IF(LEFT(A1,2)="WP", "liter","milliliter")</f>
        <v>liter</v>
      </c>
      <c r="AI26" s="343"/>
      <c r="AJ26" s="392" t="str">
        <f aca="false">IF(LEFT(A1,2)="WP", "liter","milliliter")</f>
        <v>liter</v>
      </c>
      <c r="AK26" s="242"/>
    </row>
    <row r="27" s="21" customFormat="true" ht="14.25" hidden="false" customHeight="true" outlineLevel="0" collapsed="false">
      <c r="A27" s="375" t="s">
        <v>148</v>
      </c>
      <c r="B27" s="243"/>
      <c r="C27" s="376"/>
      <c r="D27" s="376"/>
      <c r="E27" s="377" t="s">
        <v>143</v>
      </c>
      <c r="F27" s="378"/>
      <c r="G27" s="243" t="s">
        <v>144</v>
      </c>
      <c r="I27" s="385" t="str">
        <f aca="false">IF(LEFT(A1,2)="WP",IF('Recept-voorblad'!A75="","",'Recept-voorblad'!A75),IF('Recept-voorblad'!A91="-","-",IF('Recept-voorblad'!A91="Revisie nummer","",'Recept-voorblad'!A91)))</f>
        <v/>
      </c>
      <c r="J27" s="385"/>
      <c r="K27" s="385"/>
      <c r="L27" s="386" t="str">
        <f aca="false">IF(LEFT($A$1,2)="WP",IF('Recept-voorblad'!E75="","",'Recept-voorblad'!E75),IF('Recept-voorblad'!E91="","",'Recept-voorblad'!E91))</f>
        <v/>
      </c>
      <c r="M27" s="386"/>
      <c r="N27" s="387" t="str">
        <f aca="false">IF(LEFT($A$1,2)="WP",IF('Recept-voorblad'!I75="","",'Recept-voorblad'!I75),IF('Recept-voorblad'!I91="","",'Recept-voorblad'!I91))</f>
        <v/>
      </c>
      <c r="O27" s="387"/>
      <c r="P27" s="393" t="s">
        <v>151</v>
      </c>
      <c r="Q27" s="393"/>
      <c r="R27" s="393"/>
      <c r="S27" s="394"/>
      <c r="T27" s="395"/>
      <c r="U27" s="394"/>
      <c r="V27" s="395"/>
      <c r="W27" s="394"/>
      <c r="X27" s="396"/>
      <c r="Y27" s="397"/>
      <c r="Z27" s="396"/>
      <c r="AA27" s="397"/>
      <c r="AB27" s="396"/>
      <c r="AC27" s="397"/>
      <c r="AD27" s="396"/>
      <c r="AE27" s="397"/>
      <c r="AF27" s="396"/>
      <c r="AG27" s="397"/>
      <c r="AH27" s="396"/>
      <c r="AI27" s="397"/>
      <c r="AJ27" s="396"/>
      <c r="AK27" s="242"/>
    </row>
    <row r="28" s="21" customFormat="true" ht="14.25" hidden="false" customHeight="true" outlineLevel="0" collapsed="false">
      <c r="A28" s="375" t="s">
        <v>148</v>
      </c>
      <c r="C28" s="376"/>
      <c r="D28" s="376"/>
      <c r="E28" s="377" t="s">
        <v>143</v>
      </c>
      <c r="F28" s="378"/>
      <c r="G28" s="243" t="s">
        <v>144</v>
      </c>
      <c r="I28" s="385" t="str">
        <f aca="false">IF(LEFT(A1,2)="WP",IF('Recept-voorblad'!A76="","",'Recept-voorblad'!A76),IF('Recept-voorblad'!A92="-","-",IF('Recept-voorblad'!A92="Revisie nummer","",'Recept-voorblad'!A92)))</f>
        <v/>
      </c>
      <c r="J28" s="385"/>
      <c r="K28" s="385"/>
      <c r="L28" s="386" t="str">
        <f aca="false">IF(LEFT($A$1,2)="WP",IF('Recept-voorblad'!E76="","",'Recept-voorblad'!E76),IF('Recept-voorblad'!E92="","",'Recept-voorblad'!E92))</f>
        <v/>
      </c>
      <c r="M28" s="386"/>
      <c r="N28" s="387" t="str">
        <f aca="false">IF(LEFT($A$1,2)="WP",IF('Recept-voorblad'!I76="","",'Recept-voorblad'!I76),IF('Recept-voorblad'!I92="","",'Recept-voorblad'!I92))</f>
        <v/>
      </c>
      <c r="O28" s="387"/>
      <c r="P28" s="371" t="s">
        <v>152</v>
      </c>
      <c r="Q28" s="371"/>
      <c r="R28" s="371"/>
      <c r="S28" s="398"/>
      <c r="T28" s="399" t="s">
        <v>137</v>
      </c>
      <c r="U28" s="398"/>
      <c r="V28" s="400" t="s">
        <v>137</v>
      </c>
      <c r="W28" s="401"/>
      <c r="X28" s="399" t="s">
        <v>137</v>
      </c>
      <c r="Y28" s="398"/>
      <c r="Z28" s="400" t="s">
        <v>137</v>
      </c>
      <c r="AA28" s="398"/>
      <c r="AB28" s="400" t="s">
        <v>137</v>
      </c>
      <c r="AC28" s="402"/>
      <c r="AD28" s="403" t="s">
        <v>137</v>
      </c>
      <c r="AE28" s="402"/>
      <c r="AF28" s="403" t="s">
        <v>137</v>
      </c>
      <c r="AG28" s="402"/>
      <c r="AH28" s="403" t="s">
        <v>137</v>
      </c>
      <c r="AI28" s="402"/>
      <c r="AJ28" s="403" t="s">
        <v>137</v>
      </c>
      <c r="AK28" s="242"/>
    </row>
    <row r="29" s="21" customFormat="true" ht="13.5" hidden="false" customHeight="true" outlineLevel="0" collapsed="false">
      <c r="A29" s="20" t="s">
        <v>153</v>
      </c>
      <c r="C29" s="404"/>
      <c r="D29" s="404"/>
      <c r="E29" s="405" t="s">
        <v>143</v>
      </c>
      <c r="F29" s="406"/>
      <c r="G29" s="21" t="s">
        <v>144</v>
      </c>
      <c r="I29" s="385" t="str">
        <f aca="false">IF(LEFT(A1,2)="WP",IF('Recept-voorblad'!A77="","",'Recept-voorblad'!A77),IF('Recept-voorblad'!A93="-","-",IF('Recept-voorblad'!A93="Revisie nummer","",'Recept-voorblad'!A93)))</f>
        <v/>
      </c>
      <c r="J29" s="385"/>
      <c r="K29" s="385"/>
      <c r="L29" s="386" t="str">
        <f aca="false">IF(LEFT($A$1,2)="WP",IF('Recept-voorblad'!E77="","",'Recept-voorblad'!E77),IF('Recept-voorblad'!E93="","",'Recept-voorblad'!E93))</f>
        <v/>
      </c>
      <c r="M29" s="386"/>
      <c r="N29" s="387" t="str">
        <f aca="false">IF(LEFT($A$1,2)="WP",IF('Recept-voorblad'!I77="","",'Recept-voorblad'!I77),IF('Recept-voorblad'!I93="","",'Recept-voorblad'!I93))</f>
        <v/>
      </c>
      <c r="O29" s="387"/>
      <c r="P29" s="271" t="s">
        <v>154</v>
      </c>
      <c r="Q29" s="271"/>
      <c r="R29" s="271"/>
      <c r="S29" s="407" t="str">
        <f aca="false">IF(S31="","",(S31-S24)/S24*100)</f>
        <v/>
      </c>
      <c r="T29" s="399" t="s">
        <v>57</v>
      </c>
      <c r="U29" s="407" t="str">
        <f aca="false">IF(U31="","",(U31-U24)/U24*100)</f>
        <v/>
      </c>
      <c r="V29" s="400" t="s">
        <v>57</v>
      </c>
      <c r="W29" s="407" t="str">
        <f aca="false">IF(W31="","",(W31-W24)/W24*100)</f>
        <v/>
      </c>
      <c r="X29" s="399" t="s">
        <v>57</v>
      </c>
      <c r="Y29" s="407" t="str">
        <f aca="false">IF(Y31="","",(Y31-Y24)/Y24*100)</f>
        <v/>
      </c>
      <c r="Z29" s="400" t="s">
        <v>57</v>
      </c>
      <c r="AA29" s="407" t="str">
        <f aca="false">IF(AA31="","",(AA31-AA24)/AA24*100)</f>
        <v/>
      </c>
      <c r="AB29" s="399" t="s">
        <v>57</v>
      </c>
      <c r="AC29" s="407" t="str">
        <f aca="false">IF(AC31="","",(AC31-AC24)/AC24*100)</f>
        <v/>
      </c>
      <c r="AD29" s="400" t="s">
        <v>57</v>
      </c>
      <c r="AE29" s="407" t="str">
        <f aca="false">IF(AE31="","",(AE31-AE24)/AE24*100)</f>
        <v/>
      </c>
      <c r="AF29" s="400" t="s">
        <v>57</v>
      </c>
      <c r="AG29" s="407" t="str">
        <f aca="false">IF(AG31="","",(AG31-AG24)/AG24*100)</f>
        <v/>
      </c>
      <c r="AH29" s="400" t="s">
        <v>57</v>
      </c>
      <c r="AI29" s="407" t="str">
        <f aca="false">IF(AI31="","",(AI31-AI24)/AI24*100)</f>
        <v/>
      </c>
      <c r="AJ29" s="400" t="s">
        <v>57</v>
      </c>
      <c r="AK29" s="242"/>
    </row>
    <row r="30" s="21" customFormat="true" ht="14.25" hidden="false" customHeight="true" outlineLevel="0" collapsed="false">
      <c r="A30" s="12"/>
      <c r="B30" s="13"/>
      <c r="C30" s="408"/>
      <c r="D30" s="408"/>
      <c r="E30" s="13"/>
      <c r="F30" s="409"/>
      <c r="G30" s="13"/>
      <c r="H30" s="14"/>
      <c r="I30" s="410" t="str">
        <f aca="false">IF(LEFT(A1,2)="WP",IF('Recept-voorblad'!A78="","",'Recept-voorblad'!A78),"-")</f>
        <v/>
      </c>
      <c r="J30" s="410"/>
      <c r="K30" s="410"/>
      <c r="L30" s="386" t="str">
        <f aca="false">IF(LEFT($A$1,2)="WP",IF('Recept-voorblad'!E78="","",'Recept-voorblad'!E78),"-")</f>
        <v/>
      </c>
      <c r="M30" s="386"/>
      <c r="N30" s="387" t="str">
        <f aca="false">IF(LEFT($A$1,2)="WP",IF('Recept-voorblad'!I78="","",'Recept-voorblad'!I78),"-")</f>
        <v/>
      </c>
      <c r="O30" s="387"/>
      <c r="P30" s="371" t="s">
        <v>155</v>
      </c>
      <c r="Q30" s="371"/>
      <c r="R30" s="371"/>
      <c r="S30" s="411"/>
      <c r="T30" s="411"/>
      <c r="U30" s="412"/>
      <c r="V30" s="412"/>
      <c r="W30" s="413"/>
      <c r="X30" s="413"/>
      <c r="Y30" s="412"/>
      <c r="Z30" s="412"/>
      <c r="AA30" s="412"/>
      <c r="AB30" s="412"/>
      <c r="AC30" s="414"/>
      <c r="AD30" s="414"/>
      <c r="AE30" s="414"/>
      <c r="AF30" s="414"/>
      <c r="AG30" s="414"/>
      <c r="AH30" s="414"/>
      <c r="AI30" s="414"/>
      <c r="AJ30" s="414"/>
      <c r="AK30" s="242"/>
    </row>
    <row r="31" s="21" customFormat="true" ht="14.25" hidden="false" customHeight="true" outlineLevel="0" collapsed="false">
      <c r="A31" s="20"/>
      <c r="C31" s="415"/>
      <c r="D31" s="415"/>
      <c r="F31" s="416"/>
      <c r="H31" s="22"/>
      <c r="I31" s="410" t="str">
        <f aca="false">IF(LEFT(A1,2)="WP",IF('Recept-voorblad'!A79="","",'Recept-voorblad'!A79),"-")</f>
        <v/>
      </c>
      <c r="J31" s="410"/>
      <c r="K31" s="410"/>
      <c r="L31" s="386" t="str">
        <f aca="false">IF(LEFT($A$1,2)="WP",IF('Recept-voorblad'!E79="","",'Recept-voorblad'!E79),"-")</f>
        <v/>
      </c>
      <c r="M31" s="386"/>
      <c r="N31" s="387" t="str">
        <f aca="false">IF(LEFT($A$1,2)="WP",IF('Recept-voorblad'!I79="","",'Recept-voorblad'!I79),"-")</f>
        <v/>
      </c>
      <c r="O31" s="387"/>
      <c r="P31" s="260" t="s">
        <v>156</v>
      </c>
      <c r="Q31" s="260"/>
      <c r="R31" s="260"/>
      <c r="S31" s="417"/>
      <c r="T31" s="418" t="s">
        <v>16</v>
      </c>
      <c r="U31" s="417"/>
      <c r="V31" s="418" t="s">
        <v>16</v>
      </c>
      <c r="W31" s="417"/>
      <c r="X31" s="418" t="s">
        <v>16</v>
      </c>
      <c r="Y31" s="417"/>
      <c r="Z31" s="418" t="s">
        <v>16</v>
      </c>
      <c r="AA31" s="417"/>
      <c r="AB31" s="418" t="s">
        <v>16</v>
      </c>
      <c r="AC31" s="417"/>
      <c r="AD31" s="419" t="s">
        <v>16</v>
      </c>
      <c r="AE31" s="417"/>
      <c r="AF31" s="419" t="s">
        <v>16</v>
      </c>
      <c r="AG31" s="417"/>
      <c r="AH31" s="419" t="s">
        <v>16</v>
      </c>
      <c r="AI31" s="417"/>
      <c r="AJ31" s="419" t="s">
        <v>16</v>
      </c>
      <c r="AK31" s="242"/>
    </row>
    <row r="32" s="21" customFormat="true" ht="14.25" hidden="false" customHeight="true" outlineLevel="0" collapsed="false">
      <c r="A32" s="20"/>
      <c r="C32" s="415"/>
      <c r="D32" s="415"/>
      <c r="F32" s="416"/>
      <c r="H32" s="22"/>
      <c r="I32" s="410" t="str">
        <f aca="false">IF(LEFT(A1,2)="WP",IF('Recept-voorblad'!A80="","",'Recept-voorblad'!A80),"-")</f>
        <v/>
      </c>
      <c r="J32" s="410"/>
      <c r="K32" s="410"/>
      <c r="L32" s="386" t="str">
        <f aca="false">IF(LEFT($A$1,2)="WP",IF('Recept-voorblad'!E80="","",'Recept-voorblad'!E80),"-")</f>
        <v/>
      </c>
      <c r="M32" s="386"/>
      <c r="N32" s="387" t="str">
        <f aca="false">IF(LEFT($A$1,2)="WP",IF('Recept-voorblad'!I80="","",'Recept-voorblad'!I80),"-")</f>
        <v/>
      </c>
      <c r="O32" s="387"/>
      <c r="P32" s="420" t="s">
        <v>157</v>
      </c>
      <c r="Q32" s="420"/>
      <c r="R32" s="420"/>
      <c r="S32" s="281"/>
      <c r="T32" s="282"/>
      <c r="U32" s="282"/>
      <c r="V32" s="282"/>
      <c r="W32" s="282"/>
      <c r="X32" s="282"/>
      <c r="Y32" s="282"/>
      <c r="Z32" s="282"/>
      <c r="AA32" s="282"/>
      <c r="AB32" s="282"/>
      <c r="AC32" s="282"/>
      <c r="AD32" s="283"/>
      <c r="AE32" s="282"/>
      <c r="AF32" s="283"/>
      <c r="AG32" s="282"/>
      <c r="AH32" s="283"/>
      <c r="AI32" s="282"/>
      <c r="AJ32" s="283"/>
      <c r="AK32" s="242"/>
    </row>
    <row r="33" s="21" customFormat="true" ht="14.25" hidden="false" customHeight="true" outlineLevel="0" collapsed="false">
      <c r="A33" s="20"/>
      <c r="C33" s="415"/>
      <c r="D33" s="415"/>
      <c r="F33" s="416"/>
      <c r="H33" s="22"/>
      <c r="I33" s="410" t="str">
        <f aca="false">IF(LEFT(A1,2)="WP",IF('Recept-voorblad'!A81="","",'Recept-voorblad'!A81),"-")</f>
        <v/>
      </c>
      <c r="J33" s="410"/>
      <c r="K33" s="410"/>
      <c r="L33" s="386" t="str">
        <f aca="false">IF(LEFT($A$1,2)="WP",IF('Recept-voorblad'!E81="","",'Recept-voorblad'!E81),"-")</f>
        <v/>
      </c>
      <c r="M33" s="386"/>
      <c r="N33" s="387" t="str">
        <f aca="false">IF(LEFT($A$1,2)="WP",IF('Recept-voorblad'!I81="","",'Recept-voorblad'!I81),"-")</f>
        <v/>
      </c>
      <c r="O33" s="387"/>
      <c r="P33" s="421" t="s">
        <v>158</v>
      </c>
      <c r="Q33" s="421"/>
      <c r="R33" s="421"/>
      <c r="S33" s="291"/>
      <c r="T33" s="292" t="s">
        <v>111</v>
      </c>
      <c r="U33" s="293"/>
      <c r="V33" s="422" t="s">
        <v>111</v>
      </c>
      <c r="W33" s="291"/>
      <c r="X33" s="423" t="s">
        <v>111</v>
      </c>
      <c r="Y33" s="293"/>
      <c r="Z33" s="424" t="s">
        <v>111</v>
      </c>
      <c r="AA33" s="291"/>
      <c r="AB33" s="423" t="s">
        <v>111</v>
      </c>
      <c r="AC33" s="293"/>
      <c r="AD33" s="423" t="s">
        <v>111</v>
      </c>
      <c r="AE33" s="293"/>
      <c r="AF33" s="423" t="s">
        <v>111</v>
      </c>
      <c r="AG33" s="293"/>
      <c r="AH33" s="423" t="s">
        <v>111</v>
      </c>
      <c r="AI33" s="293"/>
      <c r="AJ33" s="423" t="s">
        <v>111</v>
      </c>
      <c r="AK33" s="242" t="e">
        <f aca="false">AVERAGE(AI33,AG33,AE33,AC33,AA33,Y33,W33,U33,S33)*COUNT(AI33,AG33,AE33,AC33,AA33,Y33,W33,U33,S33)</f>
        <v>#DIV/0!</v>
      </c>
    </row>
    <row r="34" s="21" customFormat="true" ht="14.25" hidden="false" customHeight="true" outlineLevel="0" collapsed="false">
      <c r="A34" s="82"/>
      <c r="B34" s="83"/>
      <c r="C34" s="425"/>
      <c r="D34" s="425"/>
      <c r="E34" s="83"/>
      <c r="F34" s="426"/>
      <c r="G34" s="83"/>
      <c r="H34" s="84"/>
      <c r="I34" s="427" t="str">
        <f aca="false">IF(LEFT(A1,2)="WP",IF('Recept-voorblad'!A82="","",'Recept-voorblad'!A82),"-")</f>
        <v/>
      </c>
      <c r="J34" s="427"/>
      <c r="K34" s="427"/>
      <c r="L34" s="428" t="str">
        <f aca="false">IF(LEFT($A$1,2)="WP",IF('Recept-voorblad'!E82="","",'Recept-voorblad'!E82),"-")</f>
        <v/>
      </c>
      <c r="M34" s="428"/>
      <c r="N34" s="429" t="str">
        <f aca="false">IF(LEFT($A$1,2)="WP",IF('Recept-voorblad'!I82="","",'Recept-voorblad'!I82),"-")</f>
        <v/>
      </c>
      <c r="O34" s="429"/>
      <c r="P34" s="371" t="s">
        <v>159</v>
      </c>
      <c r="Q34" s="371"/>
      <c r="R34" s="371"/>
      <c r="S34" s="382"/>
      <c r="T34" s="373" t="s">
        <v>16</v>
      </c>
      <c r="U34" s="430"/>
      <c r="V34" s="372" t="s">
        <v>16</v>
      </c>
      <c r="W34" s="382"/>
      <c r="X34" s="373" t="s">
        <v>16</v>
      </c>
      <c r="Y34" s="430"/>
      <c r="Z34" s="372" t="s">
        <v>16</v>
      </c>
      <c r="AA34" s="382"/>
      <c r="AB34" s="373" t="s">
        <v>16</v>
      </c>
      <c r="AC34" s="430"/>
      <c r="AD34" s="373" t="s">
        <v>16</v>
      </c>
      <c r="AE34" s="430"/>
      <c r="AF34" s="373" t="s">
        <v>16</v>
      </c>
      <c r="AG34" s="430"/>
      <c r="AH34" s="373" t="s">
        <v>16</v>
      </c>
      <c r="AI34" s="430"/>
      <c r="AJ34" s="373" t="s">
        <v>16</v>
      </c>
      <c r="AK34" s="431" t="e">
        <f aca="false">AVERAGE(AI34,AG34,AE34,AC34,AA34,Y34,W34,U34,S34)</f>
        <v>#DIV/0!</v>
      </c>
    </row>
    <row r="35" s="21" customFormat="true" ht="14.25" hidden="false" customHeight="true" outlineLevel="0" collapsed="false">
      <c r="A35" s="432" t="s">
        <v>160</v>
      </c>
      <c r="B35" s="432"/>
      <c r="C35" s="432"/>
      <c r="D35" s="432"/>
      <c r="E35" s="432"/>
      <c r="F35" s="432"/>
      <c r="G35" s="432"/>
      <c r="H35" s="433" t="s">
        <v>161</v>
      </c>
      <c r="I35" s="434" t="str">
        <f aca="false">IF(LEFT(A1,2)="WP", "Automatische dosering:","receptuur additieven")</f>
        <v>Automatische dosering:</v>
      </c>
      <c r="J35" s="434"/>
      <c r="K35" s="434"/>
      <c r="L35" s="434"/>
      <c r="M35" s="434" t="str">
        <f aca="false">IF(LEFT(A1,2)="WP", "Zuur [L]","hoeveel&amp;wanneer")</f>
        <v>Zuur [L]</v>
      </c>
      <c r="N35" s="434" t="str">
        <f aca="false">IF(LEFT(A1,2)="WP", "Tannines [L]","paraaf")</f>
        <v>Tannines [L]</v>
      </c>
      <c r="O35" s="434"/>
      <c r="P35" s="271" t="s">
        <v>32</v>
      </c>
      <c r="Q35" s="271"/>
      <c r="R35" s="271"/>
      <c r="S35" s="435"/>
      <c r="T35" s="436"/>
      <c r="U35" s="435"/>
      <c r="V35" s="436"/>
      <c r="W35" s="435"/>
      <c r="X35" s="437"/>
      <c r="Y35" s="435"/>
      <c r="Z35" s="437"/>
      <c r="AA35" s="435"/>
      <c r="AB35" s="437"/>
      <c r="AC35" s="435"/>
      <c r="AD35" s="437"/>
      <c r="AE35" s="435"/>
      <c r="AF35" s="437"/>
      <c r="AG35" s="435"/>
      <c r="AH35" s="437"/>
      <c r="AI35" s="435"/>
      <c r="AJ35" s="437"/>
      <c r="AK35" s="242"/>
    </row>
    <row r="36" s="21" customFormat="true" ht="14.25" hidden="false" customHeight="true" outlineLevel="0" collapsed="false">
      <c r="A36" s="438" t="s">
        <v>162</v>
      </c>
      <c r="B36" s="438"/>
      <c r="C36" s="439" t="n">
        <f aca="false">'Recept-voorblad'!G43</f>
        <v>0</v>
      </c>
      <c r="D36" s="368" t="s">
        <v>137</v>
      </c>
      <c r="E36" s="440" t="str">
        <f aca="false">IF(A36=" "," ", "doseerpunt")</f>
        <v>doseerpunt</v>
      </c>
      <c r="F36" s="440"/>
      <c r="G36" s="440"/>
      <c r="H36" s="378" t="str">
        <f aca="false">IF(LEFT($A$1,2)="WP",IFERROR(INDEX('Recept-voorblad'!G42:Q56,MATCH(Brouwen!C36,'Recept-voorblad'!G42:G56,0),11),""),IF(IFERROR(1/INDEX('Recept-voorblad'!G42:Q56,MATCH(Brouwen!C36,'Recept-voorblad'!G42:G56,0),3),"nee")="nee",IF(Brouwen!C36="","","nee"),"ja"))</f>
        <v/>
      </c>
      <c r="I36" s="441" t="str">
        <f aca="false">IF(LEFT(A1,2)="WP","Inmaischen",'Recept-voorblad'!A73)</f>
        <v>Inmaischen</v>
      </c>
      <c r="J36" s="441"/>
      <c r="K36" s="441"/>
      <c r="L36" s="442" t="str">
        <f aca="false">IF(LEFT(A1,2)="WP", "(l/hl)"," ")</f>
        <v>(l/hl)</v>
      </c>
      <c r="M36" s="443"/>
      <c r="N36" s="444"/>
      <c r="O36" s="444"/>
      <c r="P36" s="271" t="s">
        <v>163</v>
      </c>
      <c r="Q36" s="271"/>
      <c r="R36" s="271"/>
      <c r="S36" s="445"/>
      <c r="T36" s="309" t="s">
        <v>137</v>
      </c>
      <c r="U36" s="446"/>
      <c r="V36" s="372" t="s">
        <v>137</v>
      </c>
      <c r="W36" s="445"/>
      <c r="X36" s="309" t="s">
        <v>137</v>
      </c>
      <c r="Y36" s="447"/>
      <c r="Z36" s="448" t="s">
        <v>137</v>
      </c>
      <c r="AA36" s="449"/>
      <c r="AB36" s="373" t="s">
        <v>137</v>
      </c>
      <c r="AC36" s="446"/>
      <c r="AD36" s="450" t="s">
        <v>137</v>
      </c>
      <c r="AE36" s="446"/>
      <c r="AF36" s="450" t="s">
        <v>137</v>
      </c>
      <c r="AG36" s="446"/>
      <c r="AH36" s="450" t="s">
        <v>137</v>
      </c>
      <c r="AI36" s="446"/>
      <c r="AJ36" s="450" t="s">
        <v>137</v>
      </c>
      <c r="AK36" s="242"/>
    </row>
    <row r="37" s="21" customFormat="true" ht="14.25" hidden="false" customHeight="true" outlineLevel="0" collapsed="false">
      <c r="A37" s="451" t="str">
        <f aca="false">IF(C37="-"," ","Hopgift")</f>
        <v>Hopgift</v>
      </c>
      <c r="B37" s="451"/>
      <c r="C37" s="452" t="str">
        <f aca="false" t="array" ref="C37:C37">IFERROR(INDEX('Recept-voorblad'!G43:G57,MATCH(FALSE(),'Recept-voorblad'!G43:G57= C36,0)),"")</f>
        <v/>
      </c>
      <c r="D37" s="378" t="str">
        <f aca="false">IF(C37=""," ","min")</f>
        <v> </v>
      </c>
      <c r="E37" s="453" t="str">
        <f aca="false">IF(A37=" "," ", "doseerpunt")</f>
        <v>doseerpunt</v>
      </c>
      <c r="F37" s="453"/>
      <c r="G37" s="453"/>
      <c r="H37" s="378" t="str">
        <f aca="false">IF(LEFT($A$1,2)="WP",IFERROR(INDEX('Recept-voorblad'!G43:Q57,MATCH(Brouwen!C37,'Recept-voorblad'!G43:G57,0),11),""),IF(IFERROR(1/INDEX('Recept-voorblad'!G43:Q57,MATCH(Brouwen!C37,'Recept-voorblad'!G43:G57,0),3),"nee")="nee",IF(Brouwen!C37="","","nee"),"ja"))</f>
        <v/>
      </c>
      <c r="I37" s="454" t="str">
        <f aca="false">IF(LEFT(A1,2)="WP", "Koken",'Recept-voorblad'!A74)</f>
        <v>Koken</v>
      </c>
      <c r="J37" s="454"/>
      <c r="K37" s="454"/>
      <c r="L37" s="455" t="str">
        <f aca="false">IF(LEFT(A1,2)="WP", "(L)"," ")</f>
        <v>(L)</v>
      </c>
      <c r="M37" s="456"/>
      <c r="N37" s="456"/>
      <c r="O37" s="456"/>
      <c r="P37" s="271" t="s">
        <v>123</v>
      </c>
      <c r="Q37" s="271"/>
      <c r="R37" s="271"/>
      <c r="S37" s="457"/>
      <c r="T37" s="458" t="str">
        <f aca="false">O14</f>
        <v>ppm</v>
      </c>
      <c r="U37" s="445"/>
      <c r="V37" s="392" t="str">
        <f aca="false">T37</f>
        <v>ppm</v>
      </c>
      <c r="W37" s="459"/>
      <c r="X37" s="392" t="str">
        <f aca="false">T37</f>
        <v>ppm</v>
      </c>
      <c r="Y37" s="460"/>
      <c r="Z37" s="392" t="str">
        <f aca="false">T37</f>
        <v>ppm</v>
      </c>
      <c r="AA37" s="461"/>
      <c r="AB37" s="392" t="str">
        <f aca="false">T37</f>
        <v>ppm</v>
      </c>
      <c r="AC37" s="461"/>
      <c r="AD37" s="392" t="str">
        <f aca="false">T37</f>
        <v>ppm</v>
      </c>
      <c r="AE37" s="461"/>
      <c r="AF37" s="392" t="str">
        <f aca="false">T37</f>
        <v>ppm</v>
      </c>
      <c r="AG37" s="461"/>
      <c r="AH37" s="392" t="str">
        <f aca="false">T37</f>
        <v>ppm</v>
      </c>
      <c r="AI37" s="461"/>
      <c r="AJ37" s="392" t="str">
        <f aca="false">T37</f>
        <v>ppm</v>
      </c>
      <c r="AK37" s="242"/>
    </row>
    <row r="38" s="21" customFormat="true" ht="14.25" hidden="false" customHeight="true" outlineLevel="0" collapsed="false">
      <c r="A38" s="451" t="str">
        <f aca="false">IF(C38="-"," ","Hopgift")</f>
        <v>Hopgift</v>
      </c>
      <c r="B38" s="451"/>
      <c r="C38" s="462" t="str">
        <f aca="false" t="array" ref="C38:C38">IFERROR(INDEX('Recept-voorblad'!G43:G57,MATCH(1,('Recept-voorblad'!G43:G57&lt;C37)*('Recept-voorblad'!G43:G57&lt;C36),0)),"")</f>
        <v/>
      </c>
      <c r="D38" s="378" t="str">
        <f aca="false">IF(C38=""," ","min")</f>
        <v> </v>
      </c>
      <c r="E38" s="453" t="str">
        <f aca="false">IF(A38=" "," ", "doseerpunt")</f>
        <v>doseerpunt</v>
      </c>
      <c r="F38" s="453"/>
      <c r="G38" s="453"/>
      <c r="H38" s="378" t="str">
        <f aca="false">IF(LEFT($A$1,2)="WP",IFERROR(INDEX('Recept-voorblad'!G44:Q58,MATCH(Brouwen!C38,'Recept-voorblad'!G44:G58,0),11),""),IF(IFERROR(1/INDEX('Recept-voorblad'!G44:Q58,MATCH(Brouwen!C38,'Recept-voorblad'!G44:G58,0),3),"nee")="nee",IF(Brouwen!C38="","","nee"),"ja"))</f>
        <v/>
      </c>
      <c r="I38" s="463" t="str">
        <f aca="false">IF(LEFT(A1,2)="WP", "Inline sparge",'Recept-voorblad'!A75)</f>
        <v>Inline sparge</v>
      </c>
      <c r="J38" s="463"/>
      <c r="K38" s="463"/>
      <c r="L38" s="463"/>
      <c r="M38" s="456"/>
      <c r="N38" s="456"/>
      <c r="O38" s="456"/>
      <c r="P38" s="271" t="s">
        <v>164</v>
      </c>
      <c r="Q38" s="346"/>
      <c r="R38" s="346"/>
      <c r="S38" s="464"/>
      <c r="T38" s="309" t="s">
        <v>111</v>
      </c>
      <c r="U38" s="465"/>
      <c r="V38" s="466" t="s">
        <v>111</v>
      </c>
      <c r="W38" s="464"/>
      <c r="X38" s="309" t="s">
        <v>111</v>
      </c>
      <c r="Y38" s="467"/>
      <c r="Z38" s="448" t="s">
        <v>111</v>
      </c>
      <c r="AA38" s="468"/>
      <c r="AB38" s="344" t="s">
        <v>111</v>
      </c>
      <c r="AC38" s="465"/>
      <c r="AD38" s="469" t="s">
        <v>111</v>
      </c>
      <c r="AE38" s="465"/>
      <c r="AF38" s="469" t="s">
        <v>111</v>
      </c>
      <c r="AG38" s="465"/>
      <c r="AH38" s="469" t="s">
        <v>111</v>
      </c>
      <c r="AI38" s="465"/>
      <c r="AJ38" s="469" t="s">
        <v>111</v>
      </c>
      <c r="AK38" s="242"/>
    </row>
    <row r="39" s="21" customFormat="true" ht="14.25" hidden="false" customHeight="true" outlineLevel="0" collapsed="false">
      <c r="A39" s="451" t="str">
        <f aca="false">IF(C39="-"," ","Hopgift")</f>
        <v>Hopgift</v>
      </c>
      <c r="B39" s="451"/>
      <c r="C39" s="462" t="str">
        <f aca="false" t="array" ref="C39:C39">IFERROR(INDEX('Recept-voorblad'!G44:G58,MATCH(1,('Recept-voorblad'!G44:G58&lt;C38)*('Recept-voorblad'!G44:G58&lt;C37),0)),"")</f>
        <v/>
      </c>
      <c r="D39" s="378" t="str">
        <f aca="false">IF(C39=""," ","min")</f>
        <v> </v>
      </c>
      <c r="E39" s="453" t="str">
        <f aca="false">IF(A39=" "," ", "doseerpunt")</f>
        <v>doseerpunt</v>
      </c>
      <c r="F39" s="453"/>
      <c r="G39" s="453"/>
      <c r="H39" s="378" t="str">
        <f aca="false">IF(LEFT($A$1,2)="WP",IFERROR(INDEX('Recept-voorblad'!G45:Q59,MATCH(Brouwen!C39,'Recept-voorblad'!G45:G59,0),11),""),IF(IFERROR(1/INDEX('Recept-voorblad'!G45:Q59,MATCH(Brouwen!C39,'Recept-voorblad'!G45:G59,0),3),"nee")="nee",IF(Brouwen!C39="","","nee"),"ja"))</f>
        <v/>
      </c>
      <c r="I39" s="463" t="str">
        <f aca="false">IF(LEFT(A1,2)="WP", " ",'Recept-voorblad'!A76)</f>
        <v> </v>
      </c>
      <c r="J39" s="463"/>
      <c r="K39" s="463"/>
      <c r="L39" s="463"/>
      <c r="M39" s="456" t="str">
        <f aca="false">IF(LEFT(A1,2)="WP"," ",'Recept-voorblad'!E76&amp;" "&amp;'Recept-voorblad'!I76)</f>
        <v> </v>
      </c>
      <c r="N39" s="456"/>
      <c r="O39" s="456"/>
      <c r="P39" s="271" t="s">
        <v>165</v>
      </c>
      <c r="Q39" s="346"/>
      <c r="R39" s="346"/>
      <c r="S39" s="470" t="str">
        <f aca="false">IF(LEFT(A1,2)="WP","",S40)</f>
        <v/>
      </c>
      <c r="T39" s="471" t="s">
        <v>111</v>
      </c>
      <c r="U39" s="472" t="str">
        <f aca="false">IF(LEFT(A1,2)="WP","",U40-S40)</f>
        <v/>
      </c>
      <c r="V39" s="473" t="s">
        <v>111</v>
      </c>
      <c r="W39" s="470" t="str">
        <f aca="false">IF(LEFT(A1,2)="WP","",W40-U40)</f>
        <v/>
      </c>
      <c r="X39" s="471" t="s">
        <v>111</v>
      </c>
      <c r="Y39" s="472" t="str">
        <f aca="false">IF(LEFT(A1,2)="WP","",Y40-W40)</f>
        <v/>
      </c>
      <c r="Z39" s="473" t="s">
        <v>111</v>
      </c>
      <c r="AA39" s="470" t="str">
        <f aca="false">IF(LEFT(A1,2)="WP","",AA40-Y40)</f>
        <v/>
      </c>
      <c r="AB39" s="471" t="s">
        <v>111</v>
      </c>
      <c r="AC39" s="472" t="str">
        <f aca="false">IF(LEFT(A1,2)="WP","",AC40-AA40)</f>
        <v/>
      </c>
      <c r="AD39" s="474" t="s">
        <v>111</v>
      </c>
      <c r="AE39" s="472" t="str">
        <f aca="false">IF(LEFT(A1,2)="WP","",AE40-AC40)</f>
        <v/>
      </c>
      <c r="AF39" s="474" t="s">
        <v>111</v>
      </c>
      <c r="AG39" s="472" t="str">
        <f aca="false">IF(LEFT(A1,2)="WP","",AG40-AE40)</f>
        <v/>
      </c>
      <c r="AH39" s="474" t="s">
        <v>111</v>
      </c>
      <c r="AI39" s="472" t="str">
        <f aca="false">IF(LEFT(A1,2)="WP","",AI40-AG40)</f>
        <v/>
      </c>
      <c r="AJ39" s="474" t="s">
        <v>111</v>
      </c>
      <c r="AK39" s="242"/>
    </row>
    <row r="40" s="21" customFormat="true" ht="14.25" hidden="false" customHeight="true" outlineLevel="0" collapsed="false">
      <c r="A40" s="451" t="str">
        <f aca="false">IF(C40=""," ","Hopgift")</f>
        <v> </v>
      </c>
      <c r="B40" s="451"/>
      <c r="C40" s="462" t="str">
        <f aca="false" t="array" ref="C40:C40">IFERROR(INDEX('Recept-voorblad'!G45:G59,MATCH(1,('Recept-voorblad'!G45:G59&lt;C39)*('Recept-voorblad'!G45:G59&lt;C38),0)),"")</f>
        <v/>
      </c>
      <c r="D40" s="378" t="str">
        <f aca="false">IF(C40=""," ","min")</f>
        <v> </v>
      </c>
      <c r="E40" s="453" t="str">
        <f aca="false">IF(A40=" "," ", "doseerpunt")</f>
        <v> </v>
      </c>
      <c r="F40" s="453"/>
      <c r="G40" s="453"/>
      <c r="H40" s="378" t="str">
        <f aca="false">IFERROR(INDEX('Recept-voorblad'!G46:Q60,MATCH(Brouwen!C40,'Recept-voorblad'!G46:G60,0),11),"")</f>
        <v/>
      </c>
      <c r="I40" s="463" t="str">
        <f aca="false">IF(LEFT(A1,2)="WP", " ",'Recept-voorblad'!A77)</f>
        <v> </v>
      </c>
      <c r="J40" s="463"/>
      <c r="K40" s="463"/>
      <c r="L40" s="463"/>
      <c r="M40" s="456" t="str">
        <f aca="false">IF(LEFT(A1,2)="WP"," ",'Recept-voorblad'!E77&amp;" "&amp;'Recept-voorblad'!I77)</f>
        <v> </v>
      </c>
      <c r="N40" s="456"/>
      <c r="O40" s="456"/>
      <c r="P40" s="475" t="s">
        <v>166</v>
      </c>
      <c r="Q40" s="476"/>
      <c r="R40" s="476"/>
      <c r="S40" s="477" t="str">
        <f aca="false">IFERROR(IF(LEFT(A1,2)="WP",S39+S38," "),"")</f>
        <v/>
      </c>
      <c r="T40" s="478" t="s">
        <v>111</v>
      </c>
      <c r="U40" s="477" t="str">
        <f aca="false">IFERROR(IF(LEFT(A1,2)="WP",U39+U38+S40," "),"")</f>
        <v/>
      </c>
      <c r="V40" s="478" t="s">
        <v>111</v>
      </c>
      <c r="W40" s="477" t="str">
        <f aca="false">IFERROR(IF(LEFT(A1,2)="WP",W39+W38+U40," "),"")</f>
        <v/>
      </c>
      <c r="X40" s="478" t="s">
        <v>111</v>
      </c>
      <c r="Y40" s="477" t="str">
        <f aca="false">IFERROR(IF(LEFT(A1,2)="WP",Y39+Y38+W40," "),"")</f>
        <v/>
      </c>
      <c r="Z40" s="478" t="s">
        <v>111</v>
      </c>
      <c r="AA40" s="477" t="str">
        <f aca="false">IFERROR(IF(LEFT(A1,2)="WP",AA39+AA38+Y40," "),"")</f>
        <v/>
      </c>
      <c r="AB40" s="478" t="s">
        <v>111</v>
      </c>
      <c r="AC40" s="477" t="str">
        <f aca="false">IFERROR(IF(LEFT(A1,2)="WP",AC39+AC38+AA40," "),"")</f>
        <v/>
      </c>
      <c r="AD40" s="478" t="s">
        <v>111</v>
      </c>
      <c r="AE40" s="477" t="str">
        <f aca="false">IFERROR(IF(LEFT(A1,2)="WP",AE39+AE38+AC40," "),"")</f>
        <v/>
      </c>
      <c r="AF40" s="478" t="s">
        <v>111</v>
      </c>
      <c r="AG40" s="477" t="str">
        <f aca="false">IFERROR(IF(LEFT(A1,2)="WP",AG39+AG38+AE40," "),"")</f>
        <v/>
      </c>
      <c r="AH40" s="478" t="s">
        <v>111</v>
      </c>
      <c r="AI40" s="477" t="str">
        <f aca="false">IFERROR(IF(LEFT(A1,2)="WP",AI39+AI38+AG40," "),"")</f>
        <v/>
      </c>
      <c r="AJ40" s="478" t="s">
        <v>111</v>
      </c>
      <c r="AK40" s="431" t="n">
        <f aca="false">MAX(S40,U40,W40,Y40,AA40,AC40,AE40,AG40,AI40)</f>
        <v>0</v>
      </c>
    </row>
    <row r="41" s="21" customFormat="true" ht="14.25" hidden="false" customHeight="true" outlineLevel="0" collapsed="false">
      <c r="A41" s="451" t="str">
        <f aca="false">IF(C41=""," ","Hopgift")</f>
        <v> </v>
      </c>
      <c r="B41" s="451"/>
      <c r="C41" s="462" t="str">
        <f aca="false" t="array" ref="C41:C41">IFERROR(INDEX('Recept-voorblad'!G46:G60,MATCH(1,('Recept-voorblad'!G46:G60&lt;C40)*('Recept-voorblad'!G46:G60&lt;C39),0)),"")</f>
        <v/>
      </c>
      <c r="D41" s="378" t="str">
        <f aca="false">IF(C41=""," ","min")</f>
        <v> </v>
      </c>
      <c r="E41" s="453" t="str">
        <f aca="false">IF(A41=" "," ", "doseerpunt")</f>
        <v> </v>
      </c>
      <c r="F41" s="453"/>
      <c r="G41" s="453"/>
      <c r="H41" s="378" t="str">
        <f aca="false">IFERROR(INDEX('Recept-voorblad'!G47:Q61,MATCH(Brouwen!C41,'Recept-voorblad'!G47:G61,0),11),"")</f>
        <v/>
      </c>
      <c r="I41" s="463" t="str">
        <f aca="false">IF(LEFT(A1,2)="WP", " ",'Recept-voorblad'!A78)</f>
        <v> </v>
      </c>
      <c r="J41" s="463"/>
      <c r="K41" s="463"/>
      <c r="L41" s="463"/>
      <c r="M41" s="456" t="str">
        <f aca="false">IF(LEFT(A1,2)="WP"," ",'Recept-voorblad'!E78&amp;" "&amp;'Recept-voorblad'!I78)</f>
        <v> </v>
      </c>
      <c r="N41" s="456"/>
      <c r="O41" s="456"/>
      <c r="P41" s="475" t="s">
        <v>167</v>
      </c>
      <c r="Q41" s="476"/>
      <c r="R41" s="476"/>
      <c r="S41" s="407" t="str">
        <f aca="false">IFERROR(IF(S39="","",(S42/S40)),"")</f>
        <v/>
      </c>
      <c r="T41" s="479" t="s">
        <v>16</v>
      </c>
      <c r="U41" s="407" t="str">
        <f aca="false">IFERROR(IF(U39="",S41,((S42+U42)/U40)),"")</f>
        <v/>
      </c>
      <c r="V41" s="479" t="s">
        <v>16</v>
      </c>
      <c r="W41" s="407" t="str">
        <f aca="false">IFERROR(IF(W34="",U41,((S42+U42+W42)/W40)),"")</f>
        <v/>
      </c>
      <c r="X41" s="479" t="s">
        <v>16</v>
      </c>
      <c r="Y41" s="407" t="str">
        <f aca="false">IFERROR(IF(Y34="",W41,((S42+U42+W42+Y42)/Y40)),"")</f>
        <v/>
      </c>
      <c r="Z41" s="479" t="s">
        <v>16</v>
      </c>
      <c r="AA41" s="407" t="str">
        <f aca="false">IFERROR(IF(AA34="",Y41,((S42+U42+W42+Y42+AA42)/AA40)),"")</f>
        <v/>
      </c>
      <c r="AB41" s="479" t="s">
        <v>16</v>
      </c>
      <c r="AC41" s="407" t="str">
        <f aca="false">IFERROR(IF(AC34="",AA41,((S42+U42+W42+Y42+AA42+AC42)/AC40)),"")</f>
        <v/>
      </c>
      <c r="AD41" s="479" t="s">
        <v>16</v>
      </c>
      <c r="AE41" s="407" t="str">
        <f aca="false">IFERROR(IF(AE34="",AC41,((S42+U42+W42+Y42+AA42+AC42+AE42)/AE40)),"")</f>
        <v/>
      </c>
      <c r="AF41" s="479" t="s">
        <v>16</v>
      </c>
      <c r="AG41" s="407" t="str">
        <f aca="false">IFERROR(IF(AG34="",AE41,((S42+U42+W42+Y42+AA42+AC42+AE42+AG42)/AG40)),"")</f>
        <v/>
      </c>
      <c r="AH41" s="479" t="s">
        <v>16</v>
      </c>
      <c r="AI41" s="407" t="str">
        <f aca="false">IFERROR(IF(AI34="",AG41,((S42+U42+W42+Y42+AA42+AC42+AE42+AG42+AI42)/AI40)),"")</f>
        <v/>
      </c>
      <c r="AJ41" s="479" t="s">
        <v>16</v>
      </c>
      <c r="AK41" s="480" t="str">
        <f aca="false">AG41</f>
        <v/>
      </c>
    </row>
    <row r="42" s="21" customFormat="true" ht="14.25" hidden="false" customHeight="true" outlineLevel="0" collapsed="false">
      <c r="A42" s="451" t="str">
        <f aca="false">IF(C42=""," ","Hopgift")</f>
        <v> </v>
      </c>
      <c r="B42" s="451"/>
      <c r="C42" s="462" t="str">
        <f aca="false" t="array" ref="C42:C42">IFERROR(INDEX('Recept-voorblad'!G47:G61,MATCH(1,('Recept-voorblad'!G47:G61&lt;C41)*('Recept-voorblad'!G47:G61&lt;C40)*('Recept-voorblad'!G47:G61&lt;C39),0)),"")</f>
        <v/>
      </c>
      <c r="D42" s="481" t="str">
        <f aca="false">IF(C42=""," ","min")</f>
        <v> </v>
      </c>
      <c r="E42" s="453" t="str">
        <f aca="false">IF(A42=" "," ", "doseerpunt")</f>
        <v> </v>
      </c>
      <c r="F42" s="453"/>
      <c r="G42" s="453"/>
      <c r="H42" s="378" t="str">
        <f aca="false">IFERROR(INDEX('Recept-voorblad'!G48:Q62,MATCH(Brouwen!C42,'Recept-voorblad'!G48:G62,0),11),"")</f>
        <v/>
      </c>
      <c r="I42" s="482"/>
      <c r="J42" s="482"/>
      <c r="K42" s="482"/>
      <c r="L42" s="482"/>
      <c r="M42" s="483"/>
      <c r="N42" s="483"/>
      <c r="O42" s="483"/>
      <c r="P42" s="475" t="s">
        <v>168</v>
      </c>
      <c r="Q42" s="476"/>
      <c r="R42" s="476"/>
      <c r="S42" s="484" t="str">
        <f aca="false">IFERROR(S34*S39,"")</f>
        <v/>
      </c>
      <c r="T42" s="485" t="s">
        <v>169</v>
      </c>
      <c r="U42" s="484" t="str">
        <f aca="false">IFERROR(U34*U39,"")</f>
        <v/>
      </c>
      <c r="V42" s="485" t="s">
        <v>169</v>
      </c>
      <c r="W42" s="484" t="str">
        <f aca="false">IFERROR(W34*W39,"")</f>
        <v/>
      </c>
      <c r="X42" s="485" t="s">
        <v>169</v>
      </c>
      <c r="Y42" s="484" t="str">
        <f aca="false">IFERROR(Y34*Y39,"")</f>
        <v/>
      </c>
      <c r="Z42" s="485" t="s">
        <v>169</v>
      </c>
      <c r="AA42" s="484" t="str">
        <f aca="false">IFERROR(AA34*AA39,"")</f>
        <v/>
      </c>
      <c r="AB42" s="485" t="s">
        <v>169</v>
      </c>
      <c r="AC42" s="484" t="str">
        <f aca="false">IFERROR(AC34*AC39,"")</f>
        <v/>
      </c>
      <c r="AD42" s="485" t="s">
        <v>169</v>
      </c>
      <c r="AE42" s="484" t="str">
        <f aca="false">IFERROR(AE34*AE39,"")</f>
        <v/>
      </c>
      <c r="AF42" s="485" t="s">
        <v>169</v>
      </c>
      <c r="AG42" s="484" t="str">
        <f aca="false">IFERROR(AG34*AG39,"")</f>
        <v/>
      </c>
      <c r="AH42" s="485" t="s">
        <v>169</v>
      </c>
      <c r="AI42" s="484" t="str">
        <f aca="false">IFERROR(AI34*AI39,"")</f>
        <v/>
      </c>
      <c r="AJ42" s="485" t="s">
        <v>169</v>
      </c>
      <c r="AK42" s="242"/>
    </row>
    <row r="43" s="21" customFormat="true" ht="14.25" hidden="false" customHeight="true" outlineLevel="0" collapsed="false">
      <c r="A43" s="486" t="s">
        <v>170</v>
      </c>
      <c r="B43" s="487"/>
      <c r="C43" s="488"/>
      <c r="D43" s="488"/>
      <c r="E43" s="488"/>
      <c r="F43" s="488"/>
      <c r="G43" s="488"/>
      <c r="H43" s="488"/>
      <c r="I43" s="488"/>
      <c r="J43" s="488"/>
      <c r="K43" s="483" t="s">
        <v>171</v>
      </c>
      <c r="L43" s="483"/>
      <c r="M43" s="483"/>
      <c r="N43" s="483"/>
      <c r="O43" s="483"/>
      <c r="P43" s="475" t="s">
        <v>172</v>
      </c>
      <c r="Q43" s="476"/>
      <c r="R43" s="476"/>
      <c r="S43" s="489"/>
      <c r="T43" s="489"/>
      <c r="U43" s="489"/>
      <c r="V43" s="489"/>
      <c r="W43" s="489"/>
      <c r="X43" s="489"/>
      <c r="Y43" s="489"/>
      <c r="Z43" s="489"/>
      <c r="AA43" s="489"/>
      <c r="AB43" s="489"/>
      <c r="AC43" s="489"/>
      <c r="AD43" s="489"/>
      <c r="AE43" s="489"/>
      <c r="AF43" s="489"/>
      <c r="AG43" s="489"/>
      <c r="AH43" s="489"/>
      <c r="AI43" s="489"/>
      <c r="AJ43" s="489"/>
      <c r="AK43" s="242"/>
    </row>
    <row r="44" customFormat="false" ht="14.25" hidden="false" customHeight="true" outlineLevel="0" collapsed="false">
      <c r="A44" s="490"/>
      <c r="B44" s="490"/>
      <c r="C44" s="490"/>
      <c r="D44" s="490"/>
      <c r="E44" s="490"/>
      <c r="F44" s="490"/>
      <c r="G44" s="490"/>
      <c r="H44" s="490"/>
      <c r="I44" s="490"/>
      <c r="J44" s="490"/>
      <c r="K44" s="284" t="s">
        <v>173</v>
      </c>
      <c r="L44" s="284"/>
      <c r="M44" s="284"/>
      <c r="N44" s="491" t="n">
        <f aca="false">'Recept-voorblad'!F21</f>
        <v>0</v>
      </c>
      <c r="O44" s="491"/>
      <c r="P44" s="492" t="s">
        <v>174</v>
      </c>
      <c r="Q44" s="493"/>
      <c r="R44" s="493"/>
      <c r="S44" s="494" t="n">
        <f aca="false">IF(LEFT(A1,2)="WP",S43-S6,(S43-S6)-S49)</f>
        <v>0</v>
      </c>
      <c r="T44" s="495" t="s">
        <v>175</v>
      </c>
      <c r="U44" s="494" t="n">
        <f aca="false">IF(LEFT(A1,2)="WP",U43-U6,(U43-U6)-U49)</f>
        <v>0</v>
      </c>
      <c r="V44" s="495" t="s">
        <v>175</v>
      </c>
      <c r="W44" s="494" t="n">
        <f aca="false">IF(LEFT(A1,2)="WP",W43-W6,(W43-W6)-W49)</f>
        <v>0</v>
      </c>
      <c r="X44" s="495" t="s">
        <v>175</v>
      </c>
      <c r="Y44" s="494" t="n">
        <f aca="false">IF(LEFT(A1,2)="WP",Y43-Y6,(Y43-Y6)-Y49)</f>
        <v>0</v>
      </c>
      <c r="Z44" s="495" t="s">
        <v>175</v>
      </c>
      <c r="AA44" s="494" t="n">
        <f aca="false">IF(LEFT(A1,2)="WP",AA43-AA6,(AA43-AA6)-AA49)</f>
        <v>0</v>
      </c>
      <c r="AB44" s="495" t="s">
        <v>175</v>
      </c>
      <c r="AC44" s="494" t="n">
        <f aca="false">IF(LEFT(A1,2)="WP",AC43-AC6,(AC43-AC6)-AC49)</f>
        <v>0</v>
      </c>
      <c r="AD44" s="495" t="s">
        <v>175</v>
      </c>
      <c r="AE44" s="494" t="n">
        <f aca="false">IF(LEFT(A1,2)="WP",AE43-AE6,(AE43-AE6)-AE49)</f>
        <v>0</v>
      </c>
      <c r="AF44" s="495" t="s">
        <v>175</v>
      </c>
      <c r="AG44" s="494" t="n">
        <f aca="false">IF(LEFT(A1,2)="WP",AG43-AG6,(AG43-AG6)-AG49)</f>
        <v>0</v>
      </c>
      <c r="AH44" s="495" t="s">
        <v>175</v>
      </c>
      <c r="AI44" s="494" t="n">
        <f aca="false">IF(LEFT(A1,2)="WP",AI43-AI6,(AI43-AI6)-AI49)</f>
        <v>0</v>
      </c>
      <c r="AJ44" s="495" t="s">
        <v>175</v>
      </c>
    </row>
    <row r="45" customFormat="false" ht="14.25" hidden="false" customHeight="true" outlineLevel="0" collapsed="false">
      <c r="A45" s="496"/>
      <c r="B45" s="496"/>
      <c r="C45" s="496"/>
      <c r="D45" s="496"/>
      <c r="E45" s="496"/>
      <c r="F45" s="496"/>
      <c r="G45" s="496"/>
      <c r="H45" s="496"/>
      <c r="I45" s="496"/>
      <c r="J45" s="496"/>
      <c r="K45" s="302" t="s">
        <v>176</v>
      </c>
      <c r="L45" s="302"/>
      <c r="M45" s="302"/>
      <c r="N45" s="497" t="n">
        <f aca="false">'Recept-voorblad'!F22</f>
        <v>0</v>
      </c>
      <c r="O45" s="497"/>
      <c r="P45" s="498" t="str">
        <f aca="false">IF(LEFT(A1,2)="WP", " ","Beluchtingsfilter gestoomd?")</f>
        <v> </v>
      </c>
      <c r="Q45" s="498"/>
      <c r="R45" s="498"/>
      <c r="S45" s="499"/>
      <c r="T45" s="500"/>
      <c r="U45" s="501"/>
      <c r="V45" s="502"/>
      <c r="W45" s="499"/>
      <c r="X45" s="503"/>
      <c r="Y45" s="501"/>
      <c r="Z45" s="504"/>
      <c r="AA45" s="499"/>
      <c r="AB45" s="503"/>
      <c r="AC45" s="501"/>
      <c r="AD45" s="503"/>
      <c r="AE45" s="501"/>
      <c r="AF45" s="503"/>
      <c r="AG45" s="501"/>
      <c r="AH45" s="503"/>
      <c r="AI45" s="501"/>
      <c r="AJ45" s="503"/>
    </row>
    <row r="46" customFormat="false" ht="14.25" hidden="false" customHeight="true" outlineLevel="0" collapsed="false">
      <c r="A46" s="496"/>
      <c r="B46" s="496"/>
      <c r="C46" s="496"/>
      <c r="D46" s="496"/>
      <c r="E46" s="496"/>
      <c r="F46" s="496"/>
      <c r="G46" s="496"/>
      <c r="H46" s="496"/>
      <c r="I46" s="496"/>
      <c r="J46" s="496"/>
      <c r="K46" s="302" t="s">
        <v>177</v>
      </c>
      <c r="L46" s="302"/>
      <c r="M46" s="302"/>
      <c r="N46" s="505" t="str">
        <f aca="false">SUBSTITUTE('Recept-voorblad'!A85&amp;IF('Recept-voorblad'!A86=0,"",'Recept-voorblad'!A86),"(g/brew)"," ")</f>
        <v/>
      </c>
      <c r="O46" s="505"/>
      <c r="P46" s="498" t="str">
        <f aca="false">IF(LEFT(A1,2)="WP", " ","Wortline gesteriliseerd?")</f>
        <v> </v>
      </c>
      <c r="Q46" s="498"/>
      <c r="R46" s="498"/>
      <c r="S46" s="506"/>
      <c r="T46" s="507"/>
      <c r="U46" s="508"/>
      <c r="V46" s="509"/>
      <c r="W46" s="506"/>
      <c r="X46" s="507"/>
      <c r="Y46" s="508"/>
      <c r="Z46" s="509"/>
      <c r="AA46" s="506"/>
      <c r="AB46" s="507"/>
      <c r="AC46" s="508"/>
      <c r="AD46" s="507"/>
      <c r="AE46" s="508"/>
      <c r="AF46" s="507"/>
      <c r="AG46" s="508"/>
      <c r="AH46" s="507"/>
      <c r="AI46" s="508"/>
      <c r="AJ46" s="507"/>
    </row>
    <row r="47" customFormat="false" ht="14.25" hidden="false" customHeight="true" outlineLevel="0" collapsed="false">
      <c r="A47" s="510"/>
      <c r="B47" s="510"/>
      <c r="C47" s="510"/>
      <c r="D47" s="510"/>
      <c r="E47" s="510"/>
      <c r="F47" s="510"/>
      <c r="G47" s="510"/>
      <c r="H47" s="510"/>
      <c r="I47" s="510"/>
      <c r="J47" s="510"/>
      <c r="K47" s="302" t="s">
        <v>178</v>
      </c>
      <c r="L47" s="302"/>
      <c r="M47" s="302"/>
      <c r="N47" s="511"/>
      <c r="O47" s="511"/>
      <c r="P47" s="498" t="str">
        <f aca="false">IF(LEFT(A1,2)="WP", " ","CKT CIP")</f>
        <v> </v>
      </c>
      <c r="Q47" s="498"/>
      <c r="R47" s="498"/>
      <c r="S47" s="512"/>
      <c r="T47" s="512"/>
      <c r="U47" s="512"/>
      <c r="V47" s="512"/>
      <c r="W47" s="512"/>
      <c r="X47" s="512"/>
      <c r="Y47" s="512"/>
      <c r="Z47" s="512"/>
      <c r="AA47" s="512"/>
      <c r="AB47" s="512"/>
      <c r="AC47" s="512"/>
      <c r="AD47" s="512"/>
      <c r="AE47" s="512"/>
      <c r="AF47" s="512"/>
      <c r="AG47" s="512"/>
      <c r="AH47" s="512"/>
      <c r="AI47" s="512"/>
      <c r="AJ47" s="512"/>
    </row>
    <row r="48" customFormat="false" ht="14.25" hidden="false" customHeight="true" outlineLevel="0" collapsed="false">
      <c r="A48" s="510"/>
      <c r="B48" s="510"/>
      <c r="C48" s="510"/>
      <c r="D48" s="510"/>
      <c r="E48" s="510"/>
      <c r="F48" s="510"/>
      <c r="G48" s="510"/>
      <c r="H48" s="510"/>
      <c r="I48" s="510"/>
      <c r="J48" s="510"/>
      <c r="K48" s="302" t="s">
        <v>179</v>
      </c>
      <c r="L48" s="302"/>
      <c r="M48" s="302"/>
      <c r="N48" s="513" t="n">
        <f aca="false">'Recept-voorblad'!G85+IF('Recept-voorblad'!G86="",0,'Recept-voorblad'!G86)</f>
        <v>0</v>
      </c>
      <c r="O48" s="513"/>
      <c r="P48" s="498" t="str">
        <f aca="false">IF(LEFT(A1,2)="WP", " ","Bostelbak nummer")</f>
        <v> </v>
      </c>
      <c r="Q48" s="498"/>
      <c r="R48" s="498"/>
      <c r="S48" s="300"/>
      <c r="T48" s="514"/>
      <c r="U48" s="300"/>
      <c r="V48" s="514"/>
      <c r="W48" s="300"/>
      <c r="X48" s="301"/>
      <c r="Y48" s="300"/>
      <c r="Z48" s="301"/>
      <c r="AA48" s="300"/>
      <c r="AB48" s="301"/>
      <c r="AC48" s="300"/>
      <c r="AD48" s="301"/>
      <c r="AE48" s="300"/>
      <c r="AF48" s="301"/>
      <c r="AG48" s="300"/>
      <c r="AH48" s="301"/>
      <c r="AI48" s="300"/>
      <c r="AJ48" s="301"/>
    </row>
    <row r="49" customFormat="false" ht="14.25" hidden="false" customHeight="true" outlineLevel="0" collapsed="false">
      <c r="A49" s="510"/>
      <c r="B49" s="510"/>
      <c r="C49" s="510"/>
      <c r="D49" s="510"/>
      <c r="E49" s="510"/>
      <c r="F49" s="510"/>
      <c r="G49" s="510"/>
      <c r="H49" s="510"/>
      <c r="I49" s="510"/>
      <c r="J49" s="510"/>
      <c r="K49" s="302" t="s">
        <v>180</v>
      </c>
      <c r="L49" s="302"/>
      <c r="M49" s="302"/>
      <c r="N49" s="511"/>
      <c r="O49" s="511"/>
      <c r="P49" s="498" t="str">
        <f aca="false">IF(LEFT(A1,2)="WP", " ","Pauze  in process (uu:mm)")</f>
        <v> </v>
      </c>
      <c r="Q49" s="498"/>
      <c r="R49" s="498"/>
      <c r="S49" s="515"/>
      <c r="T49" s="353"/>
      <c r="U49" s="516"/>
      <c r="V49" s="517"/>
      <c r="W49" s="515"/>
      <c r="X49" s="353"/>
      <c r="Y49" s="516"/>
      <c r="Z49" s="517"/>
      <c r="AA49" s="515"/>
      <c r="AB49" s="353"/>
      <c r="AC49" s="516"/>
      <c r="AD49" s="518"/>
      <c r="AE49" s="516"/>
      <c r="AF49" s="518"/>
      <c r="AG49" s="516"/>
      <c r="AH49" s="518"/>
      <c r="AI49" s="516"/>
      <c r="AJ49" s="518"/>
    </row>
    <row r="50" customFormat="false" ht="14.25" hidden="false" customHeight="true" outlineLevel="0" collapsed="false">
      <c r="A50" s="510"/>
      <c r="B50" s="510"/>
      <c r="C50" s="510"/>
      <c r="D50" s="510"/>
      <c r="E50" s="510"/>
      <c r="F50" s="510"/>
      <c r="G50" s="510"/>
      <c r="H50" s="510"/>
      <c r="I50" s="510"/>
      <c r="J50" s="510"/>
      <c r="K50" s="302" t="s">
        <v>181</v>
      </c>
      <c r="L50" s="302"/>
      <c r="M50" s="302"/>
      <c r="N50" s="519" t="n">
        <f aca="false">S6</f>
        <v>0</v>
      </c>
      <c r="O50" s="519"/>
      <c r="P50" s="520"/>
      <c r="Q50" s="520"/>
      <c r="R50" s="498"/>
      <c r="S50" s="521"/>
      <c r="T50" s="521"/>
      <c r="U50" s="521"/>
      <c r="V50" s="521"/>
      <c r="W50" s="522"/>
      <c r="X50" s="522"/>
      <c r="Y50" s="522"/>
      <c r="Z50" s="522"/>
      <c r="AA50" s="522"/>
      <c r="AB50" s="522"/>
      <c r="AC50" s="522"/>
      <c r="AD50" s="522"/>
      <c r="AE50" s="522"/>
      <c r="AF50" s="522"/>
      <c r="AG50" s="522"/>
      <c r="AH50" s="523" t="e">
        <f aca="false">IF(((0.99894*AG40)+((3.77*10^-3)*(AG40^2))+((1.6682*10^-5)*(AG40^3)))*AG39,((0.99894*AG40)+((3.77*10^-3)*(AG40^2))+((1.6682*10^-5)*(AG40^3)))*AG39,"")</f>
        <v>#VALUE!</v>
      </c>
      <c r="AI50" s="242"/>
    </row>
    <row r="51" customFormat="false" ht="14.25" hidden="false" customHeight="true" outlineLevel="0" collapsed="false">
      <c r="A51" s="510"/>
      <c r="B51" s="510"/>
      <c r="C51" s="510"/>
      <c r="D51" s="510"/>
      <c r="E51" s="510"/>
      <c r="F51" s="510"/>
      <c r="G51" s="510"/>
      <c r="H51" s="510"/>
      <c r="I51" s="510"/>
      <c r="J51" s="510"/>
      <c r="K51" s="302" t="s">
        <v>182</v>
      </c>
      <c r="L51" s="302"/>
      <c r="M51" s="302"/>
      <c r="N51" s="511"/>
      <c r="O51" s="511"/>
      <c r="P51" s="521"/>
      <c r="Q51" s="521"/>
      <c r="R51" s="521"/>
      <c r="S51" s="521"/>
      <c r="T51" s="521"/>
      <c r="U51" s="521"/>
      <c r="V51" s="521"/>
      <c r="W51" s="521"/>
      <c r="X51" s="521"/>
      <c r="Y51" s="521"/>
      <c r="Z51" s="521"/>
      <c r="AA51" s="521"/>
      <c r="AB51" s="521"/>
      <c r="AC51" s="521"/>
      <c r="AD51" s="521"/>
      <c r="AE51" s="521"/>
      <c r="AF51" s="521"/>
      <c r="AG51" s="521"/>
      <c r="AH51" s="521"/>
      <c r="AI51" s="242"/>
    </row>
    <row r="52" customFormat="false" ht="18.75" hidden="false" customHeight="true" outlineLevel="0" collapsed="false">
      <c r="A52" s="524"/>
      <c r="B52" s="524"/>
      <c r="C52" s="524"/>
      <c r="D52" s="524"/>
      <c r="E52" s="524"/>
      <c r="F52" s="524"/>
      <c r="G52" s="524"/>
      <c r="H52" s="524"/>
      <c r="I52" s="524"/>
      <c r="J52" s="524"/>
      <c r="K52" s="525" t="s">
        <v>183</v>
      </c>
      <c r="L52" s="525"/>
      <c r="M52" s="525"/>
      <c r="N52" s="526"/>
      <c r="O52" s="526"/>
      <c r="P52" s="527"/>
      <c r="Q52" s="527"/>
      <c r="R52" s="527"/>
      <c r="S52" s="527"/>
      <c r="T52" s="527"/>
      <c r="U52" s="527"/>
      <c r="V52" s="527"/>
      <c r="W52" s="527"/>
      <c r="X52" s="527"/>
      <c r="Y52" s="527"/>
      <c r="Z52" s="527"/>
      <c r="AA52" s="527"/>
      <c r="AB52" s="527"/>
      <c r="AC52" s="527"/>
      <c r="AD52" s="527"/>
      <c r="AE52" s="527"/>
      <c r="AF52" s="527"/>
      <c r="AG52" s="527"/>
      <c r="AH52" s="527"/>
      <c r="AI52" s="242"/>
    </row>
    <row r="53" customFormat="false" ht="18.75" hidden="false" customHeight="true" outlineLevel="0" collapsed="false">
      <c r="A53" s="521"/>
      <c r="B53" s="521"/>
      <c r="C53" s="521"/>
      <c r="D53" s="521"/>
      <c r="E53" s="521"/>
      <c r="F53" s="521"/>
      <c r="G53" s="521"/>
      <c r="H53" s="521"/>
      <c r="I53" s="521"/>
      <c r="J53" s="521"/>
      <c r="K53" s="521"/>
      <c r="L53" s="521"/>
      <c r="M53" s="521"/>
      <c r="N53" s="521"/>
      <c r="O53" s="521"/>
      <c r="P53" s="528"/>
      <c r="Q53" s="529" t="s">
        <v>184</v>
      </c>
      <c r="R53" s="529"/>
      <c r="S53" s="530"/>
      <c r="T53" s="529" t="s">
        <v>185</v>
      </c>
      <c r="U53" s="529"/>
      <c r="V53" s="528"/>
      <c r="W53" s="528" t="s">
        <v>186</v>
      </c>
      <c r="X53" s="528" t="s">
        <v>187</v>
      </c>
      <c r="Y53" s="528" t="s">
        <v>188</v>
      </c>
      <c r="Z53" s="528" t="s">
        <v>189</v>
      </c>
      <c r="AA53" s="531" t="s">
        <v>190</v>
      </c>
      <c r="AB53" s="532" t="s">
        <v>191</v>
      </c>
      <c r="AC53" s="528" t="s">
        <v>192</v>
      </c>
      <c r="AD53" s="533" t="s">
        <v>193</v>
      </c>
      <c r="AE53" s="528" t="s">
        <v>194</v>
      </c>
      <c r="AF53" s="534" t="s">
        <v>195</v>
      </c>
      <c r="AG53" s="528" t="s">
        <v>196</v>
      </c>
      <c r="AH53" s="528" t="s">
        <v>197</v>
      </c>
      <c r="AI53" s="521"/>
    </row>
    <row r="54" customFormat="false" ht="18.75" hidden="false" customHeight="true" outlineLevel="0" collapsed="false">
      <c r="A54" s="521"/>
      <c r="B54" s="521"/>
      <c r="C54" s="521"/>
      <c r="D54" s="521"/>
      <c r="E54" s="521"/>
      <c r="F54" s="521"/>
      <c r="G54" s="521"/>
      <c r="H54" s="521"/>
      <c r="I54" s="521"/>
      <c r="J54" s="527"/>
      <c r="K54" s="527"/>
      <c r="L54" s="527"/>
      <c r="M54" s="527"/>
      <c r="N54" s="527"/>
      <c r="O54" s="527"/>
      <c r="P54" s="528"/>
      <c r="Q54" s="528" t="s">
        <v>198</v>
      </c>
      <c r="R54" s="530" t="s">
        <v>199</v>
      </c>
      <c r="S54" s="530"/>
      <c r="T54" s="528" t="s">
        <v>198</v>
      </c>
      <c r="U54" s="532"/>
      <c r="V54" s="528"/>
      <c r="W54" s="528" t="s">
        <v>198</v>
      </c>
      <c r="X54" s="528"/>
      <c r="Y54" s="528"/>
      <c r="Z54" s="528"/>
      <c r="AA54" s="531"/>
      <c r="AB54" s="530"/>
      <c r="AC54" s="532"/>
      <c r="AD54" s="534"/>
      <c r="AE54" s="530"/>
      <c r="AF54" s="534"/>
      <c r="AG54" s="528"/>
      <c r="AH54" s="528"/>
      <c r="AI54" s="527"/>
      <c r="AJ54" s="242"/>
    </row>
    <row r="55" customFormat="false" ht="18.75" hidden="false" customHeight="true" outlineLevel="0" collapsed="false">
      <c r="A55" s="521"/>
      <c r="B55" s="521"/>
      <c r="C55" s="521"/>
      <c r="D55" s="521"/>
      <c r="E55" s="521"/>
      <c r="F55" s="521"/>
      <c r="G55" s="521"/>
      <c r="H55" s="521"/>
      <c r="I55" s="521"/>
      <c r="J55" s="527"/>
      <c r="K55" s="535" t="s">
        <v>200</v>
      </c>
      <c r="L55" s="535" t="n">
        <f aca="false">'Recept-voorblad'!$T$15</f>
        <v>0</v>
      </c>
      <c r="M55" s="528" t="s">
        <v>201</v>
      </c>
      <c r="N55" s="529" t="s">
        <v>202</v>
      </c>
      <c r="O55" s="529"/>
      <c r="P55" s="528"/>
      <c r="Q55" s="529" t="s">
        <v>184</v>
      </c>
      <c r="R55" s="529"/>
      <c r="S55" s="528"/>
      <c r="T55" s="529" t="s">
        <v>185</v>
      </c>
      <c r="U55" s="529"/>
      <c r="V55" s="528"/>
      <c r="W55" s="528" t="s">
        <v>186</v>
      </c>
      <c r="X55" s="528" t="s">
        <v>187</v>
      </c>
      <c r="Y55" s="528" t="s">
        <v>188</v>
      </c>
      <c r="Z55" s="528" t="s">
        <v>189</v>
      </c>
      <c r="AA55" s="528" t="s">
        <v>190</v>
      </c>
      <c r="AB55" s="528" t="s">
        <v>191</v>
      </c>
      <c r="AC55" s="528" t="s">
        <v>192</v>
      </c>
      <c r="AD55" s="528" t="s">
        <v>193</v>
      </c>
      <c r="AE55" s="528" t="s">
        <v>194</v>
      </c>
      <c r="AF55" s="528" t="s">
        <v>195</v>
      </c>
      <c r="AG55" s="528" t="s">
        <v>196</v>
      </c>
      <c r="AH55" s="528" t="s">
        <v>197</v>
      </c>
      <c r="AI55" s="528" t="s">
        <v>203</v>
      </c>
      <c r="AJ55" s="242"/>
    </row>
    <row r="56" customFormat="false" ht="18.75" hidden="false" customHeight="true" outlineLevel="0" collapsed="false">
      <c r="A56" s="521"/>
      <c r="B56" s="521"/>
      <c r="C56" s="521"/>
      <c r="D56" s="521"/>
      <c r="E56" s="521"/>
      <c r="F56" s="521"/>
      <c r="G56" s="521"/>
      <c r="H56" s="521"/>
      <c r="I56" s="521"/>
      <c r="J56" s="527"/>
      <c r="K56" s="535"/>
      <c r="L56" s="535"/>
      <c r="M56" s="528"/>
      <c r="N56" s="528" t="s">
        <v>198</v>
      </c>
      <c r="O56" s="528" t="s">
        <v>199</v>
      </c>
      <c r="P56" s="528"/>
      <c r="Q56" s="528" t="s">
        <v>198</v>
      </c>
      <c r="R56" s="528" t="s">
        <v>199</v>
      </c>
      <c r="S56" s="528"/>
      <c r="T56" s="528" t="s">
        <v>198</v>
      </c>
      <c r="U56" s="528"/>
      <c r="V56" s="528"/>
      <c r="W56" s="528" t="s">
        <v>198</v>
      </c>
      <c r="X56" s="528"/>
      <c r="Y56" s="528"/>
      <c r="Z56" s="528"/>
      <c r="AA56" s="528"/>
      <c r="AB56" s="528"/>
      <c r="AC56" s="528"/>
      <c r="AD56" s="528"/>
      <c r="AE56" s="528"/>
      <c r="AF56" s="528"/>
      <c r="AG56" s="528"/>
      <c r="AH56" s="528"/>
      <c r="AI56" s="528"/>
      <c r="AJ56" s="242"/>
    </row>
    <row r="57" customFormat="false" ht="18.75" hidden="false" customHeight="true" outlineLevel="0" collapsed="false">
      <c r="A57" s="521"/>
      <c r="B57" s="521"/>
      <c r="C57" s="521"/>
      <c r="D57" s="521"/>
      <c r="E57" s="521"/>
      <c r="F57" s="521"/>
      <c r="G57" s="521"/>
      <c r="H57" s="521"/>
      <c r="I57" s="521"/>
      <c r="J57" s="527"/>
      <c r="K57" s="535"/>
      <c r="L57" s="535"/>
      <c r="M57" s="536" t="n">
        <f aca="false">$S$6</f>
        <v>0</v>
      </c>
      <c r="N57" s="537" t="str">
        <f aca="false">IFERROR(($S$34/($S$39+$S$38)*$S$39),"")</f>
        <v/>
      </c>
      <c r="O57" s="538" t="n">
        <f aca="false">$N$8</f>
        <v>0</v>
      </c>
      <c r="P57" s="539" t="n">
        <f aca="false">IF(N57&lt;6," ",IF(N57&gt;(O57+0.5),0,IF(N57&lt;(O57-0.5),0,1)))</f>
        <v>0</v>
      </c>
      <c r="Q57" s="538" t="str">
        <f aca="false">IFERROR($S$39+$S$38,"")</f>
        <v/>
      </c>
      <c r="R57" s="539" t="n">
        <f aca="false">$F$19</f>
        <v>0</v>
      </c>
      <c r="S57" s="539" t="n">
        <f aca="false">IF(Q57&lt;6," ",IF(Q57&gt;(R57+0.5),0,IF(Q57&lt;(R57-0.5),0,1)))</f>
        <v>0</v>
      </c>
      <c r="T57" s="537" t="n">
        <f aca="false">$S$35</f>
        <v>0</v>
      </c>
      <c r="U57" s="537" t="n">
        <f aca="false">$N$13</f>
        <v>0</v>
      </c>
      <c r="V57" s="539" t="str">
        <f aca="false">IF(T57&lt;2," ",IF(T57&gt;(U57+0.5),0,IF(T57&lt;(U57-0.5),0,1)))</f>
        <v> </v>
      </c>
      <c r="W57" s="540" t="n">
        <f aca="false">$S$44</f>
        <v>0</v>
      </c>
      <c r="X57" s="541" t="e">
        <f aca="false">(($S$25-($S$25*0.03))*$S$24*((259/(259-$S$24))*0.9982))/$L$55</f>
        <v>#DIV/0!</v>
      </c>
      <c r="Y57" s="541" t="e">
        <f aca="false">(($S$33-($S$33*0.03))*$S$34*((259/(259-$S$34))*0.9982))/$L$55</f>
        <v>#DIV/0!</v>
      </c>
      <c r="Z57" s="541" t="e">
        <f aca="false">(Q57*N57*((259/(259-N57))*0.9982))/$L$55</f>
        <v>#VALUE!</v>
      </c>
      <c r="AA57" s="541" t="e">
        <f aca="false">Y57-Z57</f>
        <v>#VALUE!</v>
      </c>
      <c r="AB57" s="538" t="n">
        <f aca="false">$S$17</f>
        <v>0</v>
      </c>
      <c r="AC57" s="537" t="n">
        <f aca="false">$S$9</f>
        <v>0</v>
      </c>
      <c r="AD57" s="542" t="n">
        <f aca="false">$S$21</f>
        <v>0</v>
      </c>
      <c r="AE57" s="538" t="n">
        <f aca="false">$S$18-($S$18*0.03)</f>
        <v>0</v>
      </c>
      <c r="AF57" s="539" t="n">
        <f aca="false">S24*S25</f>
        <v>0</v>
      </c>
      <c r="AG57" s="539" t="n">
        <f aca="false">$E$3</f>
        <v>0</v>
      </c>
      <c r="AH57" s="539" t="str">
        <f aca="false">$N$3&amp;"-1"</f>
        <v>26225-1</v>
      </c>
      <c r="AI57" s="543" t="str">
        <f aca="false">CONCATENATE(A47,A48,A49,A50,A51,A52)</f>
        <v/>
      </c>
      <c r="AJ57" s="242"/>
    </row>
    <row r="58" customFormat="false" ht="18.75" hidden="false" customHeight="true" outlineLevel="0" collapsed="false">
      <c r="A58" s="521"/>
      <c r="B58" s="521"/>
      <c r="C58" s="521"/>
      <c r="D58" s="521"/>
      <c r="E58" s="521"/>
      <c r="F58" s="521"/>
      <c r="G58" s="521"/>
      <c r="H58" s="521"/>
      <c r="I58" s="521"/>
      <c r="J58" s="527"/>
      <c r="K58" s="535"/>
      <c r="L58" s="535"/>
      <c r="M58" s="536" t="n">
        <f aca="false">$U$6</f>
        <v>0</v>
      </c>
      <c r="N58" s="537" t="str">
        <f aca="false">IFERROR(($U$34/($U$39+$U$38)*$U$39),"")</f>
        <v/>
      </c>
      <c r="O58" s="538" t="n">
        <f aca="false">$N$8</f>
        <v>0</v>
      </c>
      <c r="P58" s="539" t="n">
        <f aca="false">IF(N58&lt;6," ",IF(N58&gt;(O58+0.5),0,IF(N58&lt;(O58-0.5),0,1)))</f>
        <v>0</v>
      </c>
      <c r="Q58" s="538" t="str">
        <f aca="false">IFERROR($U$39+$U$38,"")</f>
        <v/>
      </c>
      <c r="R58" s="539" t="n">
        <f aca="false">$F$19</f>
        <v>0</v>
      </c>
      <c r="S58" s="539" t="n">
        <f aca="false">IF(Q58&lt;6," ",IF(Q58&gt;(R58+0.5),0,IF(Q58&lt;(R58-0.5),0,1)))</f>
        <v>0</v>
      </c>
      <c r="T58" s="537" t="n">
        <f aca="false">$U$35</f>
        <v>0</v>
      </c>
      <c r="U58" s="537" t="n">
        <f aca="false">$N$13</f>
        <v>0</v>
      </c>
      <c r="V58" s="539" t="str">
        <f aca="false">IF(T58&lt;2," ",IF(T58&gt;(U58+0.5),0,IF(T58&lt;(U58-0.5),0,1)))</f>
        <v> </v>
      </c>
      <c r="W58" s="540" t="n">
        <f aca="false">$U$44</f>
        <v>0</v>
      </c>
      <c r="X58" s="541" t="e">
        <f aca="false">(($U$25-($U$25*0.03))*$U$24*((259/(259-$U$24))*0.9982))/$L$55</f>
        <v>#DIV/0!</v>
      </c>
      <c r="Y58" s="541" t="e">
        <f aca="false">(($U$33-($U$33*0.03))*$U$34*((259/(259-$U$34))*0.9982))/$L$55</f>
        <v>#DIV/0!</v>
      </c>
      <c r="Z58" s="541" t="e">
        <f aca="false">(Q58*N58*((259/(259-N58))*0.9982))/$L$55</f>
        <v>#VALUE!</v>
      </c>
      <c r="AA58" s="541" t="e">
        <f aca="false">Y58-Z58</f>
        <v>#VALUE!</v>
      </c>
      <c r="AB58" s="538" t="n">
        <f aca="false">$U$17</f>
        <v>0</v>
      </c>
      <c r="AC58" s="537" t="n">
        <f aca="false">$U$9</f>
        <v>0</v>
      </c>
      <c r="AD58" s="542" t="n">
        <f aca="false">$U$21</f>
        <v>0</v>
      </c>
      <c r="AE58" s="538" t="n">
        <f aca="false">$U$18-($U$18*0.03)</f>
        <v>0</v>
      </c>
      <c r="AF58" s="539" t="n">
        <f aca="false">U24*U25</f>
        <v>0</v>
      </c>
      <c r="AG58" s="539" t="n">
        <f aca="false">$E$3</f>
        <v>0</v>
      </c>
      <c r="AH58" s="539" t="str">
        <f aca="false">$N$3&amp;"-2"</f>
        <v>26225-2</v>
      </c>
      <c r="AI58" s="543"/>
      <c r="AJ58" s="242"/>
    </row>
    <row r="59" customFormat="false" ht="18.75" hidden="false" customHeight="true" outlineLevel="0" collapsed="false">
      <c r="A59" s="521"/>
      <c r="B59" s="521"/>
      <c r="C59" s="521"/>
      <c r="D59" s="521"/>
      <c r="E59" s="521"/>
      <c r="F59" s="521"/>
      <c r="G59" s="521"/>
      <c r="H59" s="521"/>
      <c r="I59" s="521"/>
      <c r="J59" s="527"/>
      <c r="K59" s="535"/>
      <c r="L59" s="535"/>
      <c r="M59" s="536" t="n">
        <f aca="false">$W$6</f>
        <v>0</v>
      </c>
      <c r="N59" s="537" t="str">
        <f aca="false">IFERROR(($W$34/($W$39+$W$38)*$W$39),"")</f>
        <v/>
      </c>
      <c r="O59" s="538" t="n">
        <f aca="false">$N$8</f>
        <v>0</v>
      </c>
      <c r="P59" s="539" t="n">
        <f aca="false">IF(N59&lt;6," ",IF(N59&gt;(O59+0.5),0,IF(N59&lt;(O59-0.5),0,1)))</f>
        <v>0</v>
      </c>
      <c r="Q59" s="538" t="str">
        <f aca="false">IFERROR($W$39+$W$38,"")</f>
        <v/>
      </c>
      <c r="R59" s="539" t="n">
        <f aca="false">$F$19</f>
        <v>0</v>
      </c>
      <c r="S59" s="539" t="n">
        <f aca="false">IF(Q59&lt;6," ",IF(Q59&gt;(R59+0.5),0,IF(Q59&lt;(R59-0.5),0,1)))</f>
        <v>0</v>
      </c>
      <c r="T59" s="537" t="n">
        <f aca="false">$W$35</f>
        <v>0</v>
      </c>
      <c r="U59" s="537" t="n">
        <f aca="false">$N$13</f>
        <v>0</v>
      </c>
      <c r="V59" s="539" t="str">
        <f aca="false">IF(T59&lt;2," ",IF(T59&gt;(U59+0.5),0,IF(T59&lt;(U59-0.5),0,1)))</f>
        <v> </v>
      </c>
      <c r="W59" s="540" t="n">
        <f aca="false">$W$44</f>
        <v>0</v>
      </c>
      <c r="X59" s="541" t="e">
        <f aca="false">(($W$25-($W$25*0.03))*$W$24*((259/(259-$W$24))*0.9982))/$L$55</f>
        <v>#DIV/0!</v>
      </c>
      <c r="Y59" s="541" t="e">
        <f aca="false">(($W$33-($W$33*0.03))*$W$34*((259/(259-$W$34))*0.9982))/$L$55</f>
        <v>#DIV/0!</v>
      </c>
      <c r="Z59" s="541" t="e">
        <f aca="false">(Q59*N59*((259/(259-N59))*0.9982))/$L$55</f>
        <v>#VALUE!</v>
      </c>
      <c r="AA59" s="541" t="e">
        <f aca="false">Y59-Z59</f>
        <v>#VALUE!</v>
      </c>
      <c r="AB59" s="538" t="n">
        <f aca="false">$W$17</f>
        <v>0</v>
      </c>
      <c r="AC59" s="537" t="n">
        <f aca="false">$W$9</f>
        <v>0</v>
      </c>
      <c r="AD59" s="542" t="n">
        <f aca="false">$W$21</f>
        <v>0</v>
      </c>
      <c r="AE59" s="538" t="n">
        <f aca="false">$W$18-($W$18*0.03)</f>
        <v>0</v>
      </c>
      <c r="AF59" s="539" t="n">
        <f aca="false">W24*W25</f>
        <v>0</v>
      </c>
      <c r="AG59" s="539" t="n">
        <f aca="false">$E$3</f>
        <v>0</v>
      </c>
      <c r="AH59" s="539" t="str">
        <f aca="false">$N$3&amp;"-3"</f>
        <v>26225-3</v>
      </c>
      <c r="AI59" s="543"/>
      <c r="AJ59" s="242"/>
    </row>
    <row r="60" customFormat="false" ht="18.75" hidden="false" customHeight="true" outlineLevel="0" collapsed="false">
      <c r="A60" s="521"/>
      <c r="B60" s="521"/>
      <c r="C60" s="521"/>
      <c r="D60" s="521"/>
      <c r="E60" s="521"/>
      <c r="F60" s="521"/>
      <c r="G60" s="521"/>
      <c r="H60" s="521"/>
      <c r="I60" s="521"/>
      <c r="J60" s="527"/>
      <c r="K60" s="535"/>
      <c r="L60" s="535"/>
      <c r="M60" s="536" t="n">
        <f aca="false">$Y$6</f>
        <v>0</v>
      </c>
      <c r="N60" s="537" t="str">
        <f aca="false">IFERROR(($Y$34/($Y$39+$Y$38)*$Y$39),"")</f>
        <v/>
      </c>
      <c r="O60" s="538" t="n">
        <f aca="false">$N$8</f>
        <v>0</v>
      </c>
      <c r="P60" s="539" t="n">
        <f aca="false">IF(N60&lt;6," ",IF(N60&gt;(O60+0.5),0,IF(N60&lt;(O60-0.5),0,1)))</f>
        <v>0</v>
      </c>
      <c r="Q60" s="538" t="str">
        <f aca="false">IFERROR($Y$39+$Y$38,"")</f>
        <v/>
      </c>
      <c r="R60" s="539" t="n">
        <f aca="false">$F$19</f>
        <v>0</v>
      </c>
      <c r="S60" s="539" t="n">
        <f aca="false">IF(Q60&lt;6," ",IF(Q60&gt;(R60+0.5),0,IF(Q60&lt;(R60-0.5),0,1)))</f>
        <v>0</v>
      </c>
      <c r="T60" s="537" t="n">
        <f aca="false">$Y$35</f>
        <v>0</v>
      </c>
      <c r="U60" s="537" t="n">
        <f aca="false">$N$13</f>
        <v>0</v>
      </c>
      <c r="V60" s="539" t="str">
        <f aca="false">IF(T60&lt;2," ",IF(T60&gt;(U60+0.5),0,IF(T60&lt;(U60-0.5),0,1)))</f>
        <v> </v>
      </c>
      <c r="W60" s="540" t="n">
        <f aca="false">$Y$44</f>
        <v>0</v>
      </c>
      <c r="X60" s="541" t="e">
        <f aca="false">(($Y$25-($Y$25*0.03))*$Y$24*((259/(259-$Y$24))*0.9982))/$L$55</f>
        <v>#DIV/0!</v>
      </c>
      <c r="Y60" s="541" t="e">
        <f aca="false">(($Y$33-($Y$33*0.03))*$Y$34*((259/(259-$Y$34))*0.9982))/$L$55</f>
        <v>#DIV/0!</v>
      </c>
      <c r="Z60" s="541" t="e">
        <f aca="false">(Q60*N60*((259/(259-N60))*0.9982))/$L$55</f>
        <v>#VALUE!</v>
      </c>
      <c r="AA60" s="541" t="e">
        <f aca="false">Y60-Z60</f>
        <v>#VALUE!</v>
      </c>
      <c r="AB60" s="538" t="n">
        <f aca="false">$Y$17</f>
        <v>0</v>
      </c>
      <c r="AC60" s="537" t="n">
        <f aca="false">$Y$9</f>
        <v>0</v>
      </c>
      <c r="AD60" s="542" t="n">
        <f aca="false">$Y$21</f>
        <v>0</v>
      </c>
      <c r="AE60" s="538" t="n">
        <f aca="false">$Y$18-($Y$18*0.03)</f>
        <v>0</v>
      </c>
      <c r="AF60" s="539" t="n">
        <f aca="false">Y24*Y25</f>
        <v>0</v>
      </c>
      <c r="AG60" s="539" t="n">
        <f aca="false">$E$3</f>
        <v>0</v>
      </c>
      <c r="AH60" s="539" t="str">
        <f aca="false">$N$3&amp;"-4"</f>
        <v>26225-4</v>
      </c>
      <c r="AI60" s="543"/>
      <c r="AJ60" s="242"/>
    </row>
    <row r="61" customFormat="false" ht="18.75" hidden="false" customHeight="true" outlineLevel="0" collapsed="false">
      <c r="A61" s="521"/>
      <c r="B61" s="521"/>
      <c r="C61" s="521"/>
      <c r="D61" s="521"/>
      <c r="E61" s="521"/>
      <c r="F61" s="521"/>
      <c r="G61" s="521"/>
      <c r="H61" s="521"/>
      <c r="I61" s="521"/>
      <c r="J61" s="527"/>
      <c r="K61" s="535"/>
      <c r="L61" s="535"/>
      <c r="M61" s="536" t="n">
        <f aca="false">$AA$6</f>
        <v>0</v>
      </c>
      <c r="N61" s="537" t="str">
        <f aca="false">IFERROR(($AA$34/($AA$39+$AA$38)*$AA$39),"")</f>
        <v/>
      </c>
      <c r="O61" s="538" t="n">
        <f aca="false">$N$8</f>
        <v>0</v>
      </c>
      <c r="P61" s="539" t="n">
        <f aca="false">IF(N61&lt;6," ",IF(N61&gt;(O61+0.5),0,IF(N61&lt;(O61-0.5),0,1)))</f>
        <v>0</v>
      </c>
      <c r="Q61" s="538" t="str">
        <f aca="false">IFERROR($AA$39+$AA$38,"")</f>
        <v/>
      </c>
      <c r="R61" s="539" t="n">
        <f aca="false">$F$19</f>
        <v>0</v>
      </c>
      <c r="S61" s="539" t="n">
        <f aca="false">IF(Q61&lt;6," ",IF(Q61&gt;(R61+0.5),0,IF(Q61&lt;(R61-0.5),0,1)))</f>
        <v>0</v>
      </c>
      <c r="T61" s="537" t="n">
        <f aca="false">$AA$35</f>
        <v>0</v>
      </c>
      <c r="U61" s="537" t="n">
        <f aca="false">$N$13</f>
        <v>0</v>
      </c>
      <c r="V61" s="539" t="str">
        <f aca="false">IF(T61&lt;2," ",IF(T61&gt;(U61+0.5),0,IF(T61&lt;(U61-0.5),0,1)))</f>
        <v> </v>
      </c>
      <c r="W61" s="540" t="n">
        <f aca="false">$AA$44</f>
        <v>0</v>
      </c>
      <c r="X61" s="541" t="e">
        <f aca="false">(($AA$25-($AA$25*0.03))*$AA$24*((259/(259-$AA$24))*0.9982))/$L$55</f>
        <v>#DIV/0!</v>
      </c>
      <c r="Y61" s="541" t="e">
        <f aca="false">(($AA$33-($AA$33*0.03))*$AA$34*((259/(259-$AA$34))*0.9982))/$L$55</f>
        <v>#DIV/0!</v>
      </c>
      <c r="Z61" s="541" t="e">
        <f aca="false">(Q61*N61*((259/(259-N61))*0.9982))/$L$55</f>
        <v>#VALUE!</v>
      </c>
      <c r="AA61" s="541" t="e">
        <f aca="false">Y61-Z61</f>
        <v>#VALUE!</v>
      </c>
      <c r="AB61" s="538" t="n">
        <f aca="false">$AA$17</f>
        <v>0</v>
      </c>
      <c r="AC61" s="537" t="n">
        <f aca="false">$AA$9</f>
        <v>0</v>
      </c>
      <c r="AD61" s="542" t="n">
        <f aca="false">$AA$21</f>
        <v>0</v>
      </c>
      <c r="AE61" s="538" t="n">
        <f aca="false">$AA$18-($AA$18*0.03)</f>
        <v>0</v>
      </c>
      <c r="AF61" s="539" t="n">
        <f aca="false">AA24*AA25</f>
        <v>0</v>
      </c>
      <c r="AG61" s="539" t="n">
        <f aca="false">$E$3</f>
        <v>0</v>
      </c>
      <c r="AH61" s="539" t="str">
        <f aca="false">$N$3&amp;"-5"</f>
        <v>26225-5</v>
      </c>
      <c r="AI61" s="543"/>
      <c r="AJ61" s="242"/>
    </row>
    <row r="62" customFormat="false" ht="18.75" hidden="false" customHeight="true" outlineLevel="0" collapsed="false">
      <c r="A62" s="521"/>
      <c r="B62" s="521"/>
      <c r="C62" s="521"/>
      <c r="D62" s="521"/>
      <c r="E62" s="521"/>
      <c r="F62" s="521"/>
      <c r="G62" s="521"/>
      <c r="H62" s="521"/>
      <c r="I62" s="521"/>
      <c r="J62" s="527"/>
      <c r="K62" s="535"/>
      <c r="L62" s="535"/>
      <c r="M62" s="536" t="n">
        <f aca="false">$AC$6</f>
        <v>0</v>
      </c>
      <c r="N62" s="537" t="str">
        <f aca="false">IFERROR(($AC$34/($AC$39+$AC$38)*$AC$39),"")</f>
        <v/>
      </c>
      <c r="O62" s="538" t="n">
        <f aca="false">$N$8</f>
        <v>0</v>
      </c>
      <c r="P62" s="539" t="n">
        <f aca="false">IF(N62&lt;6," ",IF(N62&gt;(O62+0.5),0,IF(N62&lt;(O62-0.5),0,1)))</f>
        <v>0</v>
      </c>
      <c r="Q62" s="538" t="str">
        <f aca="false">IFERROR($AC$39+$AC$38,"")</f>
        <v/>
      </c>
      <c r="R62" s="539" t="n">
        <f aca="false">$F$19</f>
        <v>0</v>
      </c>
      <c r="S62" s="539" t="n">
        <f aca="false">IF(Q62&lt;6," ",IF(Q62&gt;(R62+0.5),0,IF(Q62&lt;(R62-0.5),0,1)))</f>
        <v>0</v>
      </c>
      <c r="T62" s="537" t="n">
        <f aca="false">$AC$35</f>
        <v>0</v>
      </c>
      <c r="U62" s="537" t="n">
        <f aca="false">$N$13</f>
        <v>0</v>
      </c>
      <c r="V62" s="539" t="str">
        <f aca="false">IF(T62&lt;2," ",IF(T62&gt;(U62+0.5),0,IF(T62&lt;(U62-0.5),0,1)))</f>
        <v> </v>
      </c>
      <c r="W62" s="540" t="n">
        <f aca="false">$AC$44</f>
        <v>0</v>
      </c>
      <c r="X62" s="541" t="e">
        <f aca="false">(($AC$25-($AC$25*0.03))*$AC$24*((259/(259-$AC$24))*0.9982))/$L$55</f>
        <v>#DIV/0!</v>
      </c>
      <c r="Y62" s="541" t="e">
        <f aca="false">(($AC$33-($AC$33*0.03))*$AC$34*((259/(259-$AC$34))*0.9982))/$L$55</f>
        <v>#DIV/0!</v>
      </c>
      <c r="Z62" s="541" t="e">
        <f aca="false">(Q62*N62*((259/(259-N62))*0.9982))/$L$55</f>
        <v>#VALUE!</v>
      </c>
      <c r="AA62" s="541" t="e">
        <f aca="false">Y62-Z62</f>
        <v>#VALUE!</v>
      </c>
      <c r="AB62" s="538" t="n">
        <f aca="false">$AC$17</f>
        <v>0</v>
      </c>
      <c r="AC62" s="537" t="n">
        <f aca="false">$AC$9</f>
        <v>0</v>
      </c>
      <c r="AD62" s="542" t="n">
        <f aca="false">$AC$21</f>
        <v>0</v>
      </c>
      <c r="AE62" s="538" t="n">
        <f aca="false">$AC$18-($AC$18*0.03)</f>
        <v>0</v>
      </c>
      <c r="AF62" s="539" t="n">
        <f aca="false">AC24*AC25</f>
        <v>0</v>
      </c>
      <c r="AG62" s="539" t="n">
        <f aca="false">$E$3</f>
        <v>0</v>
      </c>
      <c r="AH62" s="539" t="str">
        <f aca="false">$N$3&amp;"-6"</f>
        <v>26225-6</v>
      </c>
      <c r="AI62" s="543"/>
      <c r="AJ62" s="242"/>
    </row>
    <row r="63" customFormat="false" ht="18.75" hidden="false" customHeight="true" outlineLevel="0" collapsed="false">
      <c r="A63" s="521"/>
      <c r="B63" s="521"/>
      <c r="C63" s="521"/>
      <c r="D63" s="521"/>
      <c r="E63" s="521"/>
      <c r="F63" s="521"/>
      <c r="G63" s="521"/>
      <c r="H63" s="521"/>
      <c r="I63" s="521"/>
      <c r="J63" s="527"/>
      <c r="K63" s="535"/>
      <c r="L63" s="535"/>
      <c r="M63" s="536" t="n">
        <f aca="false">$AE$6</f>
        <v>0</v>
      </c>
      <c r="N63" s="537" t="str">
        <f aca="false">IFERROR(($AE$34/($AE$39+$AE$38)*$AE$39),"")</f>
        <v/>
      </c>
      <c r="O63" s="538" t="n">
        <f aca="false">$N$8</f>
        <v>0</v>
      </c>
      <c r="P63" s="539" t="n">
        <f aca="false">IF(N63&lt;6," ",IF(N63&gt;(O63+0.5),0,IF(N63&lt;(O63-0.5),0,1)))</f>
        <v>0</v>
      </c>
      <c r="Q63" s="538" t="str">
        <f aca="false">IFERROR($AE$39+$AE$38,"")</f>
        <v/>
      </c>
      <c r="R63" s="539" t="n">
        <f aca="false">$F$19</f>
        <v>0</v>
      </c>
      <c r="S63" s="539" t="n">
        <f aca="false">IF(Q63&lt;6," ",IF(Q63&gt;(R63+0.5),0,IF(Q63&lt;(R63-0.5),0,1)))</f>
        <v>0</v>
      </c>
      <c r="T63" s="537" t="n">
        <f aca="false">$AE$35</f>
        <v>0</v>
      </c>
      <c r="U63" s="537" t="n">
        <f aca="false">$N$13</f>
        <v>0</v>
      </c>
      <c r="V63" s="539" t="str">
        <f aca="false">IF(T63&lt;2," ",IF(T63&gt;(U63+0.5),0,IF(T63&lt;(U63-0.5),0,1)))</f>
        <v> </v>
      </c>
      <c r="W63" s="540" t="n">
        <f aca="false">$AE$44</f>
        <v>0</v>
      </c>
      <c r="X63" s="541" t="e">
        <f aca="false">(($AE$25-($AE$25*0.03))*$AE$24*((259/(259-$AE$24))*0.9982))/$L$55</f>
        <v>#DIV/0!</v>
      </c>
      <c r="Y63" s="541" t="e">
        <f aca="false">(($AE$33-($AE$33*0.03))*$AE$34*((259/(259-$AE$34))*0.9982))/$L$55</f>
        <v>#DIV/0!</v>
      </c>
      <c r="Z63" s="541" t="e">
        <f aca="false">(Q63*N63*((259/(259-N63))*0.9982))/$L$55</f>
        <v>#VALUE!</v>
      </c>
      <c r="AA63" s="541" t="e">
        <f aca="false">Y63-Z63</f>
        <v>#VALUE!</v>
      </c>
      <c r="AB63" s="538" t="n">
        <f aca="false">$AE$17</f>
        <v>0</v>
      </c>
      <c r="AC63" s="537" t="n">
        <f aca="false">$AE$9</f>
        <v>0</v>
      </c>
      <c r="AD63" s="542" t="n">
        <f aca="false">$AE$21</f>
        <v>0</v>
      </c>
      <c r="AE63" s="538" t="n">
        <f aca="false">$AE$18-($AE$18*0.03)</f>
        <v>0</v>
      </c>
      <c r="AF63" s="539" t="n">
        <f aca="false">AE24*AE25</f>
        <v>0</v>
      </c>
      <c r="AG63" s="539" t="n">
        <f aca="false">$E$3</f>
        <v>0</v>
      </c>
      <c r="AH63" s="539" t="str">
        <f aca="false">$N$3&amp;"-7"</f>
        <v>26225-7</v>
      </c>
      <c r="AI63" s="543"/>
      <c r="AJ63" s="242"/>
    </row>
    <row r="64" customFormat="false" ht="18.75" hidden="false" customHeight="true" outlineLevel="0" collapsed="false">
      <c r="A64" s="521"/>
      <c r="B64" s="521"/>
      <c r="C64" s="521"/>
      <c r="D64" s="521"/>
      <c r="E64" s="521"/>
      <c r="F64" s="521"/>
      <c r="G64" s="521"/>
      <c r="H64" s="521"/>
      <c r="I64" s="521"/>
      <c r="J64" s="527"/>
      <c r="K64" s="535"/>
      <c r="L64" s="535"/>
      <c r="M64" s="536" t="n">
        <f aca="false">$AG$6</f>
        <v>0</v>
      </c>
      <c r="N64" s="537" t="str">
        <f aca="false">IFERROR(($AG$34/($AG$39+$AG$38)*$AG$39),"")</f>
        <v/>
      </c>
      <c r="O64" s="538" t="n">
        <f aca="false">$N$8</f>
        <v>0</v>
      </c>
      <c r="P64" s="539" t="n">
        <f aca="false">IF(N64&lt;6," ",IF(N64&gt;(O64+0.5),0,IF(N64&lt;(O64-0.5),0,1)))</f>
        <v>0</v>
      </c>
      <c r="Q64" s="538" t="str">
        <f aca="false">IFERROR($AG$39+$AG$38,"")</f>
        <v/>
      </c>
      <c r="R64" s="539" t="n">
        <f aca="false">$F$19</f>
        <v>0</v>
      </c>
      <c r="S64" s="539" t="n">
        <f aca="false">IF(Q64&lt;6," ",IF(Q64&gt;(R64+0.5),0,IF(Q64&lt;(R64-0.5),0,1)))</f>
        <v>0</v>
      </c>
      <c r="T64" s="537" t="n">
        <f aca="false">$AG$35</f>
        <v>0</v>
      </c>
      <c r="U64" s="537" t="n">
        <f aca="false">$N$13</f>
        <v>0</v>
      </c>
      <c r="V64" s="539" t="str">
        <f aca="false">IF(T64&lt;2," ",IF(T64&gt;(U64+0.5),0,IF(T64&lt;(U64-0.5),0,1)))</f>
        <v> </v>
      </c>
      <c r="W64" s="540" t="n">
        <f aca="false">$AG$44</f>
        <v>0</v>
      </c>
      <c r="X64" s="541" t="e">
        <f aca="false">(($AG$25-($AG$25*0.03))*$AG$24*((259/(259-$AG$24))*0.9982))/$L$55</f>
        <v>#DIV/0!</v>
      </c>
      <c r="Y64" s="541" t="e">
        <f aca="false">(($AG$33-($AG$33*0.03))*$AG$34*((259/(259-$AG$34))*0.9982))/$L$55</f>
        <v>#DIV/0!</v>
      </c>
      <c r="Z64" s="541" t="e">
        <f aca="false">(Q64*N64*((259/(259-N64))*0.9982))/$L$55</f>
        <v>#VALUE!</v>
      </c>
      <c r="AA64" s="541" t="e">
        <f aca="false">Y64-Z64</f>
        <v>#VALUE!</v>
      </c>
      <c r="AB64" s="538" t="n">
        <f aca="false">$AG$17</f>
        <v>0</v>
      </c>
      <c r="AC64" s="537" t="n">
        <f aca="false">$AG$9</f>
        <v>0</v>
      </c>
      <c r="AD64" s="542" t="n">
        <f aca="false">$AG$21</f>
        <v>0</v>
      </c>
      <c r="AE64" s="538" t="n">
        <f aca="false">$AG$18-($AG$18*0.03)</f>
        <v>0</v>
      </c>
      <c r="AF64" s="539" t="n">
        <f aca="false">AG24*AG25</f>
        <v>0</v>
      </c>
      <c r="AG64" s="539" t="n">
        <f aca="false">$E$3</f>
        <v>0</v>
      </c>
      <c r="AH64" s="539" t="str">
        <f aca="false">$N$3&amp;"-8"</f>
        <v>26225-8</v>
      </c>
      <c r="AI64" s="543"/>
      <c r="AJ64" s="242"/>
    </row>
    <row r="65" customFormat="false" ht="18.75" hidden="false" customHeight="true" outlineLevel="0" collapsed="false">
      <c r="A65" s="521"/>
      <c r="B65" s="521"/>
      <c r="C65" s="521"/>
      <c r="D65" s="521"/>
      <c r="E65" s="521"/>
      <c r="F65" s="521"/>
      <c r="G65" s="521"/>
      <c r="H65" s="521"/>
      <c r="I65" s="521"/>
      <c r="J65" s="521"/>
      <c r="K65" s="521"/>
      <c r="L65" s="521"/>
      <c r="M65" s="536" t="n">
        <f aca="false">$AG$6</f>
        <v>0</v>
      </c>
      <c r="N65" s="537" t="str">
        <f aca="false">IFERROR(($AI$34/($AI$39+$AI$38)*$AI$39),"")</f>
        <v/>
      </c>
      <c r="O65" s="538" t="n">
        <f aca="false">$N$8</f>
        <v>0</v>
      </c>
      <c r="P65" s="539" t="n">
        <f aca="false">IF(N65&lt;6," ",IF(N65&gt;(O65+0.5),0,IF(N65&lt;(O65-0.5),0,1)))</f>
        <v>0</v>
      </c>
      <c r="Q65" s="538" t="str">
        <f aca="false">IFERROR($AI$39+$AI$38,"")</f>
        <v/>
      </c>
      <c r="R65" s="539" t="n">
        <f aca="false">$F$19</f>
        <v>0</v>
      </c>
      <c r="S65" s="539" t="n">
        <f aca="false">IF(Q65&lt;6," ",IF(Q65&gt;(R65+0.5),0,IF(Q65&lt;(R65-0.5),0,1)))</f>
        <v>0</v>
      </c>
      <c r="T65" s="537" t="n">
        <f aca="false">$AI$35</f>
        <v>0</v>
      </c>
      <c r="U65" s="537" t="n">
        <f aca="false">$N$13</f>
        <v>0</v>
      </c>
      <c r="V65" s="539" t="str">
        <f aca="false">IF(T65&lt;2," ",IF(T65&gt;(U65+0.5),0,IF(T65&lt;(U65-0.5),0,1)))</f>
        <v> </v>
      </c>
      <c r="W65" s="540" t="n">
        <f aca="false">$AI$44</f>
        <v>0</v>
      </c>
      <c r="X65" s="541" t="e">
        <f aca="false">(($AI$25-($AI$25*0.03))*$AI$24*((259/(259-$AI$24))*0.9982))/$L$55</f>
        <v>#DIV/0!</v>
      </c>
      <c r="Y65" s="541" t="e">
        <f aca="false">(($AI$33-($AI$33*0.03))*$AI$34*((259/(259-$AI$34))*0.9982))/$L$55</f>
        <v>#DIV/0!</v>
      </c>
      <c r="Z65" s="541" t="e">
        <f aca="false">(Q65*N65*((259/(259-N65))*0.9982))/$L$55</f>
        <v>#VALUE!</v>
      </c>
      <c r="AA65" s="541" t="e">
        <f aca="false">Y65-Z65</f>
        <v>#VALUE!</v>
      </c>
      <c r="AB65" s="538" t="n">
        <f aca="false">$AI$17</f>
        <v>0</v>
      </c>
      <c r="AC65" s="537" t="n">
        <f aca="false">$AI$9</f>
        <v>0</v>
      </c>
      <c r="AD65" s="542" t="n">
        <f aca="false">$AI$21</f>
        <v>0</v>
      </c>
      <c r="AE65" s="538" t="n">
        <f aca="false">$AI$18-($AI$18*0.03)</f>
        <v>0</v>
      </c>
      <c r="AF65" s="539" t="n">
        <f aca="false">AI24*AI25</f>
        <v>0</v>
      </c>
      <c r="AG65" s="539" t="n">
        <f aca="false">$E$3</f>
        <v>0</v>
      </c>
      <c r="AH65" s="539" t="str">
        <f aca="false">$N$3&amp;"-9"</f>
        <v>26225-9</v>
      </c>
      <c r="AI65" s="543"/>
    </row>
    <row r="66" customFormat="false" ht="18.75" hidden="false" customHeight="true" outlineLevel="0" collapsed="false">
      <c r="A66" s="521"/>
      <c r="B66" s="521"/>
      <c r="C66" s="521"/>
      <c r="D66" s="521"/>
      <c r="E66" s="521"/>
      <c r="F66" s="521"/>
      <c r="G66" s="521"/>
      <c r="H66" s="521"/>
      <c r="I66" s="521"/>
      <c r="J66" s="521"/>
      <c r="K66" s="521"/>
      <c r="L66" s="521"/>
      <c r="M66" s="527"/>
      <c r="N66" s="527"/>
      <c r="O66" s="527"/>
      <c r="P66" s="527"/>
      <c r="Q66" s="527"/>
      <c r="R66" s="527"/>
      <c r="S66" s="527"/>
      <c r="T66" s="527"/>
      <c r="U66" s="527"/>
      <c r="V66" s="527"/>
      <c r="W66" s="527"/>
      <c r="X66" s="527"/>
      <c r="Y66" s="527"/>
      <c r="Z66" s="527"/>
      <c r="AA66" s="527"/>
      <c r="AB66" s="527"/>
      <c r="AC66" s="527"/>
      <c r="AD66" s="527"/>
      <c r="AE66" s="527"/>
      <c r="AF66" s="527"/>
      <c r="AG66" s="527"/>
      <c r="AH66" s="527"/>
      <c r="AI66" s="527"/>
    </row>
  </sheetData>
  <mergeCells count="278">
    <mergeCell ref="A1:B6"/>
    <mergeCell ref="C1:O2"/>
    <mergeCell ref="P1:R1"/>
    <mergeCell ref="S1:AJ2"/>
    <mergeCell ref="P2:R2"/>
    <mergeCell ref="C3:D4"/>
    <mergeCell ref="E3:J4"/>
    <mergeCell ref="K3:M4"/>
    <mergeCell ref="N3:O4"/>
    <mergeCell ref="P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P4:R4"/>
    <mergeCell ref="S4:T4"/>
    <mergeCell ref="U4:V4"/>
    <mergeCell ref="W4:X4"/>
    <mergeCell ref="Y4:Z4"/>
    <mergeCell ref="AA4:AB4"/>
    <mergeCell ref="AC4:AD4"/>
    <mergeCell ref="AE4:AF4"/>
    <mergeCell ref="AG4:AH4"/>
    <mergeCell ref="AI4:AJ4"/>
    <mergeCell ref="C5:D6"/>
    <mergeCell ref="E5:F6"/>
    <mergeCell ref="G5:H6"/>
    <mergeCell ref="I5:J6"/>
    <mergeCell ref="K5:M6"/>
    <mergeCell ref="N5:O6"/>
    <mergeCell ref="P5:R5"/>
    <mergeCell ref="P6:R6"/>
    <mergeCell ref="S6:T6"/>
    <mergeCell ref="U6:V6"/>
    <mergeCell ref="W6:X6"/>
    <mergeCell ref="Y6:Z6"/>
    <mergeCell ref="AA6:AB6"/>
    <mergeCell ref="AC6:AD6"/>
    <mergeCell ref="AE6:AF6"/>
    <mergeCell ref="AG6:AH6"/>
    <mergeCell ref="AI6:AJ6"/>
    <mergeCell ref="A7:H7"/>
    <mergeCell ref="I7:O7"/>
    <mergeCell ref="P7:R7"/>
    <mergeCell ref="A8:E8"/>
    <mergeCell ref="F8:G8"/>
    <mergeCell ref="I8:M8"/>
    <mergeCell ref="P8:R8"/>
    <mergeCell ref="A9:E9"/>
    <mergeCell ref="F9:H9"/>
    <mergeCell ref="I9:M9"/>
    <mergeCell ref="P9:R9"/>
    <mergeCell ref="A10:E10"/>
    <mergeCell ref="F10:G10"/>
    <mergeCell ref="I10:M10"/>
    <mergeCell ref="P10:R10"/>
    <mergeCell ref="A11:E11"/>
    <mergeCell ref="F11:H11"/>
    <mergeCell ref="I11:M11"/>
    <mergeCell ref="N11:O11"/>
    <mergeCell ref="P11:R11"/>
    <mergeCell ref="A12:E12"/>
    <mergeCell ref="F12:H12"/>
    <mergeCell ref="I12:M12"/>
    <mergeCell ref="N12:O12"/>
    <mergeCell ref="P12:R12"/>
    <mergeCell ref="S12:T12"/>
    <mergeCell ref="U12:V12"/>
    <mergeCell ref="W12:X12"/>
    <mergeCell ref="Y12:Z12"/>
    <mergeCell ref="AA12:AB12"/>
    <mergeCell ref="AC12:AD12"/>
    <mergeCell ref="AE12:AF12"/>
    <mergeCell ref="AG12:AH12"/>
    <mergeCell ref="AI12:AJ12"/>
    <mergeCell ref="A13:E13"/>
    <mergeCell ref="F13:G13"/>
    <mergeCell ref="I13:M13"/>
    <mergeCell ref="N13:O13"/>
    <mergeCell ref="P13:R13"/>
    <mergeCell ref="S13:T13"/>
    <mergeCell ref="U13:V13"/>
    <mergeCell ref="W13:X13"/>
    <mergeCell ref="Y13:Z13"/>
    <mergeCell ref="AA13:AB13"/>
    <mergeCell ref="AC13:AD13"/>
    <mergeCell ref="AE13:AF13"/>
    <mergeCell ref="AG13:AH13"/>
    <mergeCell ref="AI13:AJ13"/>
    <mergeCell ref="A14:E14"/>
    <mergeCell ref="F14:G14"/>
    <mergeCell ref="I14:M14"/>
    <mergeCell ref="P14:R14"/>
    <mergeCell ref="F15:G15"/>
    <mergeCell ref="I15:M15"/>
    <mergeCell ref="P15:R15"/>
    <mergeCell ref="F16:G16"/>
    <mergeCell ref="I16:O16"/>
    <mergeCell ref="P16:R16"/>
    <mergeCell ref="F17:G17"/>
    <mergeCell ref="I17:M17"/>
    <mergeCell ref="P17:R17"/>
    <mergeCell ref="F18:G18"/>
    <mergeCell ref="I18:M18"/>
    <mergeCell ref="P18:R18"/>
    <mergeCell ref="F19:G19"/>
    <mergeCell ref="I19:M19"/>
    <mergeCell ref="P19:R19"/>
    <mergeCell ref="F20:G20"/>
    <mergeCell ref="I20:M20"/>
    <mergeCell ref="F21:G21"/>
    <mergeCell ref="I21:O21"/>
    <mergeCell ref="P21:R21"/>
    <mergeCell ref="F22:G22"/>
    <mergeCell ref="I22:O22"/>
    <mergeCell ref="P22:R22"/>
    <mergeCell ref="A23:H23"/>
    <mergeCell ref="I23:O23"/>
    <mergeCell ref="P23:R23"/>
    <mergeCell ref="S23:T23"/>
    <mergeCell ref="U23:V23"/>
    <mergeCell ref="W23:X23"/>
    <mergeCell ref="Y23:Z23"/>
    <mergeCell ref="AA23:AB23"/>
    <mergeCell ref="AC23:AD23"/>
    <mergeCell ref="AE23:AF23"/>
    <mergeCell ref="AG23:AH23"/>
    <mergeCell ref="AI23:AJ23"/>
    <mergeCell ref="C24:D24"/>
    <mergeCell ref="I24:K24"/>
    <mergeCell ref="L24:M24"/>
    <mergeCell ref="N24:O24"/>
    <mergeCell ref="P24:R24"/>
    <mergeCell ref="C25:D25"/>
    <mergeCell ref="I25:K25"/>
    <mergeCell ref="L25:M25"/>
    <mergeCell ref="N25:O25"/>
    <mergeCell ref="P25:R25"/>
    <mergeCell ref="C26:D26"/>
    <mergeCell ref="I26:K26"/>
    <mergeCell ref="L26:M26"/>
    <mergeCell ref="N26:O26"/>
    <mergeCell ref="P26:R26"/>
    <mergeCell ref="C27:D27"/>
    <mergeCell ref="I27:K27"/>
    <mergeCell ref="L27:M27"/>
    <mergeCell ref="N27:O27"/>
    <mergeCell ref="P27:R27"/>
    <mergeCell ref="C28:D28"/>
    <mergeCell ref="I28:K28"/>
    <mergeCell ref="L28:M28"/>
    <mergeCell ref="N28:O28"/>
    <mergeCell ref="P28:R28"/>
    <mergeCell ref="C29:D29"/>
    <mergeCell ref="I29:K29"/>
    <mergeCell ref="L29:M29"/>
    <mergeCell ref="N29:O29"/>
    <mergeCell ref="P29:R29"/>
    <mergeCell ref="I30:K30"/>
    <mergeCell ref="L30:M30"/>
    <mergeCell ref="N30:O30"/>
    <mergeCell ref="P30:R30"/>
    <mergeCell ref="S30:T30"/>
    <mergeCell ref="U30:V30"/>
    <mergeCell ref="W30:X30"/>
    <mergeCell ref="Y30:Z30"/>
    <mergeCell ref="AA30:AB30"/>
    <mergeCell ref="AC30:AD30"/>
    <mergeCell ref="AE30:AF30"/>
    <mergeCell ref="AG30:AH30"/>
    <mergeCell ref="AI30:AJ30"/>
    <mergeCell ref="I31:K31"/>
    <mergeCell ref="L31:M31"/>
    <mergeCell ref="N31:O31"/>
    <mergeCell ref="P31:R31"/>
    <mergeCell ref="I32:K32"/>
    <mergeCell ref="L32:M32"/>
    <mergeCell ref="N32:O32"/>
    <mergeCell ref="P32:R32"/>
    <mergeCell ref="I33:K33"/>
    <mergeCell ref="L33:M33"/>
    <mergeCell ref="N33:O33"/>
    <mergeCell ref="P33:R33"/>
    <mergeCell ref="I34:K34"/>
    <mergeCell ref="L34:M34"/>
    <mergeCell ref="N34:O34"/>
    <mergeCell ref="P34:R34"/>
    <mergeCell ref="A35:G35"/>
    <mergeCell ref="I35:L35"/>
    <mergeCell ref="N35:O35"/>
    <mergeCell ref="P35:R35"/>
    <mergeCell ref="A36:B36"/>
    <mergeCell ref="E36:G36"/>
    <mergeCell ref="I36:K36"/>
    <mergeCell ref="N36:O36"/>
    <mergeCell ref="P36:R36"/>
    <mergeCell ref="A37:B37"/>
    <mergeCell ref="E37:G37"/>
    <mergeCell ref="I37:K37"/>
    <mergeCell ref="N37:O37"/>
    <mergeCell ref="P37:R37"/>
    <mergeCell ref="A38:B38"/>
    <mergeCell ref="E38:G38"/>
    <mergeCell ref="I38:L38"/>
    <mergeCell ref="N38:O38"/>
    <mergeCell ref="A39:B39"/>
    <mergeCell ref="E39:G39"/>
    <mergeCell ref="I39:L39"/>
    <mergeCell ref="N39:O39"/>
    <mergeCell ref="A40:B40"/>
    <mergeCell ref="E40:G40"/>
    <mergeCell ref="I40:L40"/>
    <mergeCell ref="N40:O40"/>
    <mergeCell ref="A41:B41"/>
    <mergeCell ref="E41:G41"/>
    <mergeCell ref="I41:L41"/>
    <mergeCell ref="N41:O41"/>
    <mergeCell ref="A42:B42"/>
    <mergeCell ref="E42:G42"/>
    <mergeCell ref="I42:L42"/>
    <mergeCell ref="M42:O42"/>
    <mergeCell ref="C43:J43"/>
    <mergeCell ref="K43:O43"/>
    <mergeCell ref="S43:T43"/>
    <mergeCell ref="U43:V43"/>
    <mergeCell ref="W43:X43"/>
    <mergeCell ref="Y43:Z43"/>
    <mergeCell ref="AA43:AB43"/>
    <mergeCell ref="AC43:AD43"/>
    <mergeCell ref="AE43:AF43"/>
    <mergeCell ref="AG43:AH43"/>
    <mergeCell ref="AI43:AJ43"/>
    <mergeCell ref="A44:J44"/>
    <mergeCell ref="K44:M44"/>
    <mergeCell ref="N44:O44"/>
    <mergeCell ref="A45:J45"/>
    <mergeCell ref="K45:M45"/>
    <mergeCell ref="N45:O45"/>
    <mergeCell ref="A46:J46"/>
    <mergeCell ref="K46:M46"/>
    <mergeCell ref="N46:O46"/>
    <mergeCell ref="A47:J47"/>
    <mergeCell ref="K47:M47"/>
    <mergeCell ref="N47:O47"/>
    <mergeCell ref="S47:T47"/>
    <mergeCell ref="U47:V47"/>
    <mergeCell ref="W47:X47"/>
    <mergeCell ref="Y47:Z47"/>
    <mergeCell ref="AA47:AB47"/>
    <mergeCell ref="AC47:AD47"/>
    <mergeCell ref="AE47:AF47"/>
    <mergeCell ref="AG47:AH47"/>
    <mergeCell ref="AI47:AJ47"/>
    <mergeCell ref="A48:J48"/>
    <mergeCell ref="K48:M48"/>
    <mergeCell ref="N48:O48"/>
    <mergeCell ref="A49:J49"/>
    <mergeCell ref="K49:M49"/>
    <mergeCell ref="N49:O49"/>
    <mergeCell ref="A50:J50"/>
    <mergeCell ref="K50:M50"/>
    <mergeCell ref="N50:O50"/>
    <mergeCell ref="A51:J51"/>
    <mergeCell ref="K51:M51"/>
    <mergeCell ref="N51:O51"/>
    <mergeCell ref="A52:J52"/>
    <mergeCell ref="K52:M52"/>
    <mergeCell ref="N52:O52"/>
    <mergeCell ref="Q53:R53"/>
    <mergeCell ref="T53:U53"/>
    <mergeCell ref="N55:O55"/>
    <mergeCell ref="Q55:R55"/>
    <mergeCell ref="T55:U55"/>
  </mergeCells>
  <conditionalFormatting sqref="AI45:AJ46 AI47 AI48:AJ49">
    <cfRule type="expression" priority="2" aboveAverage="0" equalAverage="0" bottom="0" percent="0" rank="0" text="" dxfId="13">
      <formula>LEFT($A$1,2)="JK"</formula>
    </cfRule>
  </conditionalFormatting>
  <conditionalFormatting sqref="S50:AG50">
    <cfRule type="expression" priority="3" aboveAverage="0" equalAverage="0" bottom="0" percent="0" rank="0" text="" dxfId="14">
      <formula>LEFT(E7,2)="Jk"</formula>
    </cfRule>
  </conditionalFormatting>
  <conditionalFormatting sqref="H36:H39">
    <cfRule type="cellIs" priority="4" operator="equal" aboveAverage="0" equalAverage="0" bottom="0" percent="0" rank="0" text="" dxfId="15">
      <formula>"nee"</formula>
    </cfRule>
    <cfRule type="cellIs" priority="5" operator="equal" aboveAverage="0" equalAverage="0" bottom="0" percent="0" rank="0" text="" dxfId="16">
      <formula>"ja"</formula>
    </cfRule>
  </conditionalFormatting>
  <conditionalFormatting sqref="P2">
    <cfRule type="containsText" priority="6" operator="containsText" aboveAverage="0" equalAverage="0" bottom="0" percent="0" rank="0" text="Te verbeteren" dxfId="10">
      <formula>NOT(ISERROR(SEARCH("Te verbeteren",P2)))</formula>
    </cfRule>
    <cfRule type="containsText" priority="7" operator="containsText" aboveAverage="0" equalAverage="0" bottom="0" percent="0" rank="0" text="Standaard" dxfId="11">
      <formula>NOT(ISERROR(SEARCH("Standaard",P2)))</formula>
    </cfRule>
    <cfRule type="containsText" priority="8" operator="containsText" aboveAverage="0" equalAverage="0" bottom="0" percent="0" rank="0" text="NPI" dxfId="12">
      <formula>NOT(ISERROR(SEARCH("NPI",P2)))</formula>
    </cfRule>
    <cfRule type="containsText" priority="9" operator="containsText" aboveAverage="0" equalAverage="0" bottom="0" percent="0" rank="0" text="Gevaarlijk" dxfId="12">
      <formula>NOT(ISERROR(SEARCH("Gevaarlijk",P2)))</formula>
    </cfRule>
    <cfRule type="containsText" priority="10" operator="containsText" aboveAverage="0" equalAverage="0" bottom="0" percent="0" rank="0" text="Standaard" dxfId="11">
      <formula>NOT(ISERROR(SEARCH("Standaard",P2)))</formula>
    </cfRule>
    <cfRule type="containsText" priority="11" operator="containsText" aboveAverage="0" equalAverage="0" bottom="0" percent="0" rank="0" text="Gevoelig" dxfId="10">
      <formula>NOT(ISERROR(SEARCH("Gevoelig",P2)))</formula>
    </cfRule>
  </conditionalFormatting>
  <conditionalFormatting sqref="S45:AH46 S47 S48:AH49 U47 W47 Y47 AA47 AC47 AE47 AG47">
    <cfRule type="expression" priority="12" aboveAverage="0" equalAverage="0" bottom="0" percent="0" rank="0" text="" dxfId="13">
      <formula>LEFT($A$1,2)="JK"</formula>
    </cfRule>
  </conditionalFormatting>
  <conditionalFormatting sqref="AH50">
    <cfRule type="expression" priority="13" aboveAverage="0" equalAverage="0" bottom="0" percent="0" rank="0" text="" dxfId="14">
      <formula>LEFT(T6,2)="Jk"</formula>
    </cfRule>
  </conditionalFormatting>
  <dataValidations count="1">
    <dataValidation allowBlank="true" errorStyle="stop" operator="between" showDropDown="false" showErrorMessage="true" showInputMessage="true" sqref="S47:T47" type="list">
      <formula1>"lo-de,lo-zu-de,lo-de-hw,lo-zu-de-hw"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8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U22" activeCellId="0" sqref="U22"/>
    </sheetView>
  </sheetViews>
  <sheetFormatPr defaultColWidth="8.00390625" defaultRowHeight="12.75" zeroHeight="true" outlineLevelRow="0" outlineLevelCol="0"/>
  <cols>
    <col collapsed="false" customWidth="true" hidden="false" outlineLevel="0" max="1" min="1" style="544" width="11"/>
    <col collapsed="false" customWidth="true" hidden="false" outlineLevel="0" max="2" min="2" style="544" width="9.12"/>
    <col collapsed="false" customWidth="true" hidden="false" outlineLevel="0" max="3" min="3" style="544" width="9.62"/>
    <col collapsed="false" customWidth="true" hidden="false" outlineLevel="0" max="4" min="4" style="544" width="9.12"/>
    <col collapsed="false" customWidth="true" hidden="false" outlineLevel="0" max="5" min="5" style="544" width="10.12"/>
    <col collapsed="false" customWidth="true" hidden="true" outlineLevel="0" max="7" min="6" style="544" width="9.12"/>
    <col collapsed="false" customWidth="true" hidden="false" outlineLevel="0" max="8" min="8" style="544" width="11.12"/>
    <col collapsed="false" customWidth="true" hidden="false" outlineLevel="0" max="9" min="9" style="544" width="9.12"/>
    <col collapsed="false" customWidth="true" hidden="false" outlineLevel="0" max="10" min="10" style="544" width="10.12"/>
    <col collapsed="false" customWidth="true" hidden="false" outlineLevel="0" max="11" min="11" style="544" width="5.62"/>
    <col collapsed="false" customWidth="true" hidden="false" outlineLevel="0" max="12" min="12" style="544" width="7.5"/>
    <col collapsed="false" customWidth="true" hidden="false" outlineLevel="0" max="13" min="13" style="544" width="5.62"/>
    <col collapsed="false" customWidth="true" hidden="false" outlineLevel="0" max="14" min="14" style="544" width="5.5"/>
    <col collapsed="false" customWidth="true" hidden="false" outlineLevel="0" max="15" min="15" style="544" width="5.62"/>
    <col collapsed="false" customWidth="true" hidden="false" outlineLevel="0" max="16" min="16" style="544" width="9.12"/>
    <col collapsed="false" customWidth="true" hidden="false" outlineLevel="0" max="17" min="17" style="544" width="7.5"/>
    <col collapsed="false" customWidth="true" hidden="false" outlineLevel="0" max="18" min="18" style="544" width="5.62"/>
    <col collapsed="false" customWidth="true" hidden="false" outlineLevel="0" max="19" min="19" style="544" width="5.5"/>
    <col collapsed="false" customWidth="true" hidden="false" outlineLevel="0" max="20" min="20" style="544" width="5.62"/>
    <col collapsed="false" customWidth="true" hidden="false" outlineLevel="0" max="21" min="21" style="544" width="3.5"/>
    <col collapsed="false" customWidth="false" hidden="false" outlineLevel="0" max="31" min="22" style="544" width="8"/>
    <col collapsed="false" customWidth="false" hidden="true" outlineLevel="0" max="251" min="32" style="544" width="8"/>
    <col collapsed="false" customWidth="true" hidden="true" outlineLevel="0" max="256" min="252" style="544" width="9.12"/>
    <col collapsed="false" customWidth="true" hidden="true" outlineLevel="0" max="258" min="257" style="544" width="10.49"/>
    <col collapsed="false" customWidth="true" hidden="true" outlineLevel="0" max="262" min="259" style="544" width="9.12"/>
    <col collapsed="false" customWidth="true" hidden="true" outlineLevel="0" max="263" min="263" style="544" width="10.49"/>
    <col collapsed="false" customWidth="true" hidden="true" outlineLevel="0" max="264" min="264" style="544" width="24.62"/>
    <col collapsed="false" customWidth="false" hidden="true" outlineLevel="0" max="265" min="265" style="544" width="8"/>
    <col collapsed="false" customWidth="true" hidden="true" outlineLevel="0" max="266" min="266" style="544" width="3.12"/>
    <col collapsed="false" customWidth="true" hidden="true" outlineLevel="0" max="267" min="267" style="544" width="11.12"/>
    <col collapsed="false" customWidth="true" hidden="true" outlineLevel="0" max="268" min="268" style="544" width="10.12"/>
    <col collapsed="false" customWidth="true" hidden="true" outlineLevel="0" max="269" min="269" style="544" width="8.62"/>
    <col collapsed="false" customWidth="true" hidden="true" outlineLevel="0" max="270" min="270" style="544" width="10.12"/>
    <col collapsed="false" customWidth="false" hidden="true" outlineLevel="0" max="507" min="271" style="544" width="8"/>
    <col collapsed="false" customWidth="true" hidden="true" outlineLevel="0" max="512" min="508" style="544" width="9.12"/>
    <col collapsed="false" customWidth="true" hidden="true" outlineLevel="0" max="514" min="513" style="544" width="10.49"/>
    <col collapsed="false" customWidth="true" hidden="true" outlineLevel="0" max="518" min="515" style="544" width="9.12"/>
    <col collapsed="false" customWidth="true" hidden="true" outlineLevel="0" max="519" min="519" style="544" width="10.49"/>
    <col collapsed="false" customWidth="true" hidden="true" outlineLevel="0" max="520" min="520" style="544" width="24.62"/>
    <col collapsed="false" customWidth="false" hidden="true" outlineLevel="0" max="521" min="521" style="544" width="8"/>
    <col collapsed="false" customWidth="true" hidden="true" outlineLevel="0" max="522" min="522" style="544" width="3.12"/>
    <col collapsed="false" customWidth="true" hidden="true" outlineLevel="0" max="523" min="523" style="544" width="11.12"/>
    <col collapsed="false" customWidth="true" hidden="true" outlineLevel="0" max="524" min="524" style="544" width="10.12"/>
    <col collapsed="false" customWidth="true" hidden="true" outlineLevel="0" max="525" min="525" style="544" width="8.62"/>
    <col collapsed="false" customWidth="true" hidden="true" outlineLevel="0" max="526" min="526" style="544" width="10.12"/>
    <col collapsed="false" customWidth="false" hidden="true" outlineLevel="0" max="763" min="527" style="544" width="8"/>
    <col collapsed="false" customWidth="true" hidden="true" outlineLevel="0" max="768" min="764" style="544" width="9.12"/>
    <col collapsed="false" customWidth="true" hidden="true" outlineLevel="0" max="770" min="769" style="544" width="10.49"/>
    <col collapsed="false" customWidth="true" hidden="true" outlineLevel="0" max="774" min="771" style="544" width="9.12"/>
    <col collapsed="false" customWidth="true" hidden="true" outlineLevel="0" max="775" min="775" style="544" width="10.49"/>
    <col collapsed="false" customWidth="true" hidden="true" outlineLevel="0" max="776" min="776" style="544" width="24.62"/>
    <col collapsed="false" customWidth="false" hidden="true" outlineLevel="0" max="777" min="777" style="544" width="8"/>
    <col collapsed="false" customWidth="true" hidden="true" outlineLevel="0" max="778" min="778" style="544" width="3.12"/>
    <col collapsed="false" customWidth="true" hidden="true" outlineLevel="0" max="779" min="779" style="544" width="11.12"/>
    <col collapsed="false" customWidth="true" hidden="true" outlineLevel="0" max="780" min="780" style="544" width="10.12"/>
    <col collapsed="false" customWidth="true" hidden="true" outlineLevel="0" max="781" min="781" style="544" width="8.62"/>
    <col collapsed="false" customWidth="true" hidden="true" outlineLevel="0" max="782" min="782" style="544" width="10.12"/>
    <col collapsed="false" customWidth="false" hidden="true" outlineLevel="0" max="1019" min="783" style="544" width="8"/>
    <col collapsed="false" customWidth="true" hidden="true" outlineLevel="0" max="1024" min="1020" style="544" width="9.12"/>
    <col collapsed="false" customWidth="true" hidden="true" outlineLevel="0" max="1026" min="1025" style="544" width="10.49"/>
    <col collapsed="false" customWidth="true" hidden="true" outlineLevel="0" max="1030" min="1027" style="544" width="9.12"/>
    <col collapsed="false" customWidth="true" hidden="true" outlineLevel="0" max="1031" min="1031" style="544" width="10.49"/>
    <col collapsed="false" customWidth="true" hidden="true" outlineLevel="0" max="1032" min="1032" style="544" width="24.62"/>
    <col collapsed="false" customWidth="false" hidden="true" outlineLevel="0" max="1033" min="1033" style="544" width="8"/>
    <col collapsed="false" customWidth="true" hidden="true" outlineLevel="0" max="1034" min="1034" style="544" width="3.12"/>
    <col collapsed="false" customWidth="true" hidden="true" outlineLevel="0" max="1035" min="1035" style="544" width="11.12"/>
    <col collapsed="false" customWidth="true" hidden="true" outlineLevel="0" max="1036" min="1036" style="544" width="10.12"/>
    <col collapsed="false" customWidth="true" hidden="true" outlineLevel="0" max="1037" min="1037" style="544" width="8.62"/>
    <col collapsed="false" customWidth="true" hidden="true" outlineLevel="0" max="1038" min="1038" style="544" width="10.12"/>
    <col collapsed="false" customWidth="false" hidden="true" outlineLevel="0" max="1275" min="1039" style="544" width="8"/>
    <col collapsed="false" customWidth="true" hidden="true" outlineLevel="0" max="1280" min="1276" style="544" width="9.12"/>
    <col collapsed="false" customWidth="true" hidden="true" outlineLevel="0" max="1282" min="1281" style="544" width="10.49"/>
    <col collapsed="false" customWidth="true" hidden="true" outlineLevel="0" max="1286" min="1283" style="544" width="9.12"/>
    <col collapsed="false" customWidth="true" hidden="true" outlineLevel="0" max="1287" min="1287" style="544" width="10.49"/>
    <col collapsed="false" customWidth="true" hidden="true" outlineLevel="0" max="1288" min="1288" style="544" width="24.62"/>
    <col collapsed="false" customWidth="false" hidden="true" outlineLevel="0" max="1289" min="1289" style="544" width="8"/>
    <col collapsed="false" customWidth="true" hidden="true" outlineLevel="0" max="1290" min="1290" style="544" width="3.12"/>
    <col collapsed="false" customWidth="true" hidden="true" outlineLevel="0" max="1291" min="1291" style="544" width="11.12"/>
    <col collapsed="false" customWidth="true" hidden="true" outlineLevel="0" max="1292" min="1292" style="544" width="10.12"/>
    <col collapsed="false" customWidth="true" hidden="true" outlineLevel="0" max="1293" min="1293" style="544" width="8.62"/>
    <col collapsed="false" customWidth="true" hidden="true" outlineLevel="0" max="1294" min="1294" style="544" width="10.12"/>
    <col collapsed="false" customWidth="false" hidden="true" outlineLevel="0" max="1531" min="1295" style="544" width="8"/>
    <col collapsed="false" customWidth="true" hidden="true" outlineLevel="0" max="1536" min="1532" style="544" width="9.12"/>
    <col collapsed="false" customWidth="true" hidden="true" outlineLevel="0" max="1538" min="1537" style="544" width="10.49"/>
    <col collapsed="false" customWidth="true" hidden="true" outlineLevel="0" max="1542" min="1539" style="544" width="9.12"/>
    <col collapsed="false" customWidth="true" hidden="true" outlineLevel="0" max="1543" min="1543" style="544" width="10.49"/>
    <col collapsed="false" customWidth="true" hidden="true" outlineLevel="0" max="1544" min="1544" style="544" width="24.62"/>
    <col collapsed="false" customWidth="false" hidden="true" outlineLevel="0" max="1545" min="1545" style="544" width="8"/>
    <col collapsed="false" customWidth="true" hidden="true" outlineLevel="0" max="1546" min="1546" style="544" width="3.12"/>
    <col collapsed="false" customWidth="true" hidden="true" outlineLevel="0" max="1547" min="1547" style="544" width="11.12"/>
    <col collapsed="false" customWidth="true" hidden="true" outlineLevel="0" max="1548" min="1548" style="544" width="10.12"/>
    <col collapsed="false" customWidth="true" hidden="true" outlineLevel="0" max="1549" min="1549" style="544" width="8.62"/>
    <col collapsed="false" customWidth="true" hidden="true" outlineLevel="0" max="1550" min="1550" style="544" width="10.12"/>
    <col collapsed="false" customWidth="false" hidden="true" outlineLevel="0" max="1787" min="1551" style="544" width="8"/>
    <col collapsed="false" customWidth="true" hidden="true" outlineLevel="0" max="1792" min="1788" style="544" width="9.12"/>
    <col collapsed="false" customWidth="true" hidden="true" outlineLevel="0" max="1794" min="1793" style="544" width="10.49"/>
    <col collapsed="false" customWidth="true" hidden="true" outlineLevel="0" max="1798" min="1795" style="544" width="9.12"/>
    <col collapsed="false" customWidth="true" hidden="true" outlineLevel="0" max="1799" min="1799" style="544" width="10.49"/>
    <col collapsed="false" customWidth="true" hidden="true" outlineLevel="0" max="1800" min="1800" style="544" width="24.62"/>
    <col collapsed="false" customWidth="false" hidden="true" outlineLevel="0" max="1801" min="1801" style="544" width="8"/>
    <col collapsed="false" customWidth="true" hidden="true" outlineLevel="0" max="1802" min="1802" style="544" width="3.12"/>
    <col collapsed="false" customWidth="true" hidden="true" outlineLevel="0" max="1803" min="1803" style="544" width="11.12"/>
    <col collapsed="false" customWidth="true" hidden="true" outlineLevel="0" max="1804" min="1804" style="544" width="10.12"/>
    <col collapsed="false" customWidth="true" hidden="true" outlineLevel="0" max="1805" min="1805" style="544" width="8.62"/>
    <col collapsed="false" customWidth="true" hidden="true" outlineLevel="0" max="1806" min="1806" style="544" width="10.12"/>
    <col collapsed="false" customWidth="false" hidden="true" outlineLevel="0" max="2043" min="1807" style="544" width="8"/>
    <col collapsed="false" customWidth="true" hidden="true" outlineLevel="0" max="2048" min="2044" style="544" width="9.12"/>
    <col collapsed="false" customWidth="true" hidden="true" outlineLevel="0" max="2050" min="2049" style="544" width="10.49"/>
    <col collapsed="false" customWidth="true" hidden="true" outlineLevel="0" max="2054" min="2051" style="544" width="9.12"/>
    <col collapsed="false" customWidth="true" hidden="true" outlineLevel="0" max="2055" min="2055" style="544" width="10.49"/>
    <col collapsed="false" customWidth="true" hidden="true" outlineLevel="0" max="2056" min="2056" style="544" width="24.62"/>
    <col collapsed="false" customWidth="false" hidden="true" outlineLevel="0" max="2057" min="2057" style="544" width="8"/>
    <col collapsed="false" customWidth="true" hidden="true" outlineLevel="0" max="2058" min="2058" style="544" width="3.12"/>
    <col collapsed="false" customWidth="true" hidden="true" outlineLevel="0" max="2059" min="2059" style="544" width="11.12"/>
    <col collapsed="false" customWidth="true" hidden="true" outlineLevel="0" max="2060" min="2060" style="544" width="10.12"/>
    <col collapsed="false" customWidth="true" hidden="true" outlineLevel="0" max="2061" min="2061" style="544" width="8.62"/>
    <col collapsed="false" customWidth="true" hidden="true" outlineLevel="0" max="2062" min="2062" style="544" width="10.12"/>
    <col collapsed="false" customWidth="false" hidden="true" outlineLevel="0" max="2299" min="2063" style="544" width="8"/>
    <col collapsed="false" customWidth="true" hidden="true" outlineLevel="0" max="2304" min="2300" style="544" width="9.12"/>
    <col collapsed="false" customWidth="true" hidden="true" outlineLevel="0" max="2306" min="2305" style="544" width="10.49"/>
    <col collapsed="false" customWidth="true" hidden="true" outlineLevel="0" max="2310" min="2307" style="544" width="9.12"/>
    <col collapsed="false" customWidth="true" hidden="true" outlineLevel="0" max="2311" min="2311" style="544" width="10.49"/>
    <col collapsed="false" customWidth="true" hidden="true" outlineLevel="0" max="2312" min="2312" style="544" width="24.62"/>
    <col collapsed="false" customWidth="false" hidden="true" outlineLevel="0" max="2313" min="2313" style="544" width="8"/>
    <col collapsed="false" customWidth="true" hidden="true" outlineLevel="0" max="2314" min="2314" style="544" width="3.12"/>
    <col collapsed="false" customWidth="true" hidden="true" outlineLevel="0" max="2315" min="2315" style="544" width="11.12"/>
    <col collapsed="false" customWidth="true" hidden="true" outlineLevel="0" max="2316" min="2316" style="544" width="10.12"/>
    <col collapsed="false" customWidth="true" hidden="true" outlineLevel="0" max="2317" min="2317" style="544" width="8.62"/>
    <col collapsed="false" customWidth="true" hidden="true" outlineLevel="0" max="2318" min="2318" style="544" width="10.12"/>
    <col collapsed="false" customWidth="false" hidden="true" outlineLevel="0" max="2555" min="2319" style="544" width="8"/>
    <col collapsed="false" customWidth="true" hidden="true" outlineLevel="0" max="2560" min="2556" style="544" width="9.12"/>
    <col collapsed="false" customWidth="true" hidden="true" outlineLevel="0" max="2562" min="2561" style="544" width="10.49"/>
    <col collapsed="false" customWidth="true" hidden="true" outlineLevel="0" max="2566" min="2563" style="544" width="9.12"/>
    <col collapsed="false" customWidth="true" hidden="true" outlineLevel="0" max="2567" min="2567" style="544" width="10.49"/>
    <col collapsed="false" customWidth="true" hidden="true" outlineLevel="0" max="2568" min="2568" style="544" width="24.62"/>
    <col collapsed="false" customWidth="false" hidden="true" outlineLevel="0" max="2569" min="2569" style="544" width="8"/>
    <col collapsed="false" customWidth="true" hidden="true" outlineLevel="0" max="2570" min="2570" style="544" width="3.12"/>
    <col collapsed="false" customWidth="true" hidden="true" outlineLevel="0" max="2571" min="2571" style="544" width="11.12"/>
    <col collapsed="false" customWidth="true" hidden="true" outlineLevel="0" max="2572" min="2572" style="544" width="10.12"/>
    <col collapsed="false" customWidth="true" hidden="true" outlineLevel="0" max="2573" min="2573" style="544" width="8.62"/>
    <col collapsed="false" customWidth="true" hidden="true" outlineLevel="0" max="2574" min="2574" style="544" width="10.12"/>
    <col collapsed="false" customWidth="false" hidden="true" outlineLevel="0" max="2811" min="2575" style="544" width="8"/>
    <col collapsed="false" customWidth="true" hidden="true" outlineLevel="0" max="2816" min="2812" style="544" width="9.12"/>
    <col collapsed="false" customWidth="true" hidden="true" outlineLevel="0" max="2818" min="2817" style="544" width="10.49"/>
    <col collapsed="false" customWidth="true" hidden="true" outlineLevel="0" max="2822" min="2819" style="544" width="9.12"/>
    <col collapsed="false" customWidth="true" hidden="true" outlineLevel="0" max="2823" min="2823" style="544" width="10.49"/>
    <col collapsed="false" customWidth="true" hidden="true" outlineLevel="0" max="2824" min="2824" style="544" width="24.62"/>
    <col collapsed="false" customWidth="false" hidden="true" outlineLevel="0" max="2825" min="2825" style="544" width="8"/>
    <col collapsed="false" customWidth="true" hidden="true" outlineLevel="0" max="2826" min="2826" style="544" width="3.12"/>
    <col collapsed="false" customWidth="true" hidden="true" outlineLevel="0" max="2827" min="2827" style="544" width="11.12"/>
    <col collapsed="false" customWidth="true" hidden="true" outlineLevel="0" max="2828" min="2828" style="544" width="10.12"/>
    <col collapsed="false" customWidth="true" hidden="true" outlineLevel="0" max="2829" min="2829" style="544" width="8.62"/>
    <col collapsed="false" customWidth="true" hidden="true" outlineLevel="0" max="2830" min="2830" style="544" width="10.12"/>
    <col collapsed="false" customWidth="false" hidden="true" outlineLevel="0" max="3067" min="2831" style="544" width="8"/>
    <col collapsed="false" customWidth="true" hidden="true" outlineLevel="0" max="3072" min="3068" style="544" width="9.12"/>
    <col collapsed="false" customWidth="true" hidden="true" outlineLevel="0" max="3074" min="3073" style="544" width="10.49"/>
    <col collapsed="false" customWidth="true" hidden="true" outlineLevel="0" max="3078" min="3075" style="544" width="9.12"/>
    <col collapsed="false" customWidth="true" hidden="true" outlineLevel="0" max="3079" min="3079" style="544" width="10.49"/>
    <col collapsed="false" customWidth="true" hidden="true" outlineLevel="0" max="3080" min="3080" style="544" width="24.62"/>
    <col collapsed="false" customWidth="false" hidden="true" outlineLevel="0" max="3081" min="3081" style="544" width="8"/>
    <col collapsed="false" customWidth="true" hidden="true" outlineLevel="0" max="3082" min="3082" style="544" width="3.12"/>
    <col collapsed="false" customWidth="true" hidden="true" outlineLevel="0" max="3083" min="3083" style="544" width="11.12"/>
    <col collapsed="false" customWidth="true" hidden="true" outlineLevel="0" max="3084" min="3084" style="544" width="10.12"/>
    <col collapsed="false" customWidth="true" hidden="true" outlineLevel="0" max="3085" min="3085" style="544" width="8.62"/>
    <col collapsed="false" customWidth="true" hidden="true" outlineLevel="0" max="3086" min="3086" style="544" width="10.12"/>
    <col collapsed="false" customWidth="false" hidden="true" outlineLevel="0" max="3323" min="3087" style="544" width="8"/>
    <col collapsed="false" customWidth="true" hidden="true" outlineLevel="0" max="3328" min="3324" style="544" width="9.12"/>
    <col collapsed="false" customWidth="true" hidden="true" outlineLevel="0" max="3330" min="3329" style="544" width="10.49"/>
    <col collapsed="false" customWidth="true" hidden="true" outlineLevel="0" max="3334" min="3331" style="544" width="9.12"/>
    <col collapsed="false" customWidth="true" hidden="true" outlineLevel="0" max="3335" min="3335" style="544" width="10.49"/>
    <col collapsed="false" customWidth="true" hidden="true" outlineLevel="0" max="3336" min="3336" style="544" width="24.62"/>
    <col collapsed="false" customWidth="false" hidden="true" outlineLevel="0" max="3337" min="3337" style="544" width="8"/>
    <col collapsed="false" customWidth="true" hidden="true" outlineLevel="0" max="3338" min="3338" style="544" width="3.12"/>
    <col collapsed="false" customWidth="true" hidden="true" outlineLevel="0" max="3339" min="3339" style="544" width="11.12"/>
    <col collapsed="false" customWidth="true" hidden="true" outlineLevel="0" max="3340" min="3340" style="544" width="10.12"/>
    <col collapsed="false" customWidth="true" hidden="true" outlineLevel="0" max="3341" min="3341" style="544" width="8.62"/>
    <col collapsed="false" customWidth="true" hidden="true" outlineLevel="0" max="3342" min="3342" style="544" width="10.12"/>
    <col collapsed="false" customWidth="false" hidden="true" outlineLevel="0" max="3579" min="3343" style="544" width="8"/>
    <col collapsed="false" customWidth="true" hidden="true" outlineLevel="0" max="3584" min="3580" style="544" width="9.12"/>
    <col collapsed="false" customWidth="true" hidden="true" outlineLevel="0" max="3586" min="3585" style="544" width="10.49"/>
    <col collapsed="false" customWidth="true" hidden="true" outlineLevel="0" max="3590" min="3587" style="544" width="9.12"/>
    <col collapsed="false" customWidth="true" hidden="true" outlineLevel="0" max="3591" min="3591" style="544" width="10.49"/>
    <col collapsed="false" customWidth="true" hidden="true" outlineLevel="0" max="3592" min="3592" style="544" width="24.62"/>
    <col collapsed="false" customWidth="false" hidden="true" outlineLevel="0" max="3593" min="3593" style="544" width="8"/>
    <col collapsed="false" customWidth="true" hidden="true" outlineLevel="0" max="3594" min="3594" style="544" width="3.12"/>
    <col collapsed="false" customWidth="true" hidden="true" outlineLevel="0" max="3595" min="3595" style="544" width="11.12"/>
    <col collapsed="false" customWidth="true" hidden="true" outlineLevel="0" max="3596" min="3596" style="544" width="10.12"/>
    <col collapsed="false" customWidth="true" hidden="true" outlineLevel="0" max="3597" min="3597" style="544" width="8.62"/>
    <col collapsed="false" customWidth="true" hidden="true" outlineLevel="0" max="3598" min="3598" style="544" width="10.12"/>
    <col collapsed="false" customWidth="false" hidden="true" outlineLevel="0" max="3835" min="3599" style="544" width="8"/>
    <col collapsed="false" customWidth="true" hidden="true" outlineLevel="0" max="3840" min="3836" style="544" width="9.12"/>
    <col collapsed="false" customWidth="true" hidden="true" outlineLevel="0" max="3842" min="3841" style="544" width="10.49"/>
    <col collapsed="false" customWidth="true" hidden="true" outlineLevel="0" max="3846" min="3843" style="544" width="9.12"/>
    <col collapsed="false" customWidth="true" hidden="true" outlineLevel="0" max="3847" min="3847" style="544" width="10.49"/>
    <col collapsed="false" customWidth="true" hidden="true" outlineLevel="0" max="3848" min="3848" style="544" width="24.62"/>
    <col collapsed="false" customWidth="false" hidden="true" outlineLevel="0" max="3849" min="3849" style="544" width="8"/>
    <col collapsed="false" customWidth="true" hidden="true" outlineLevel="0" max="3850" min="3850" style="544" width="3.12"/>
    <col collapsed="false" customWidth="true" hidden="true" outlineLevel="0" max="3851" min="3851" style="544" width="11.12"/>
    <col collapsed="false" customWidth="true" hidden="true" outlineLevel="0" max="3852" min="3852" style="544" width="10.12"/>
    <col collapsed="false" customWidth="true" hidden="true" outlineLevel="0" max="3853" min="3853" style="544" width="8.62"/>
    <col collapsed="false" customWidth="true" hidden="true" outlineLevel="0" max="3854" min="3854" style="544" width="10.12"/>
    <col collapsed="false" customWidth="false" hidden="true" outlineLevel="0" max="4091" min="3855" style="544" width="8"/>
    <col collapsed="false" customWidth="true" hidden="true" outlineLevel="0" max="4096" min="4092" style="544" width="9.12"/>
    <col collapsed="false" customWidth="true" hidden="true" outlineLevel="0" max="4098" min="4097" style="544" width="10.49"/>
    <col collapsed="false" customWidth="true" hidden="true" outlineLevel="0" max="4102" min="4099" style="544" width="9.12"/>
    <col collapsed="false" customWidth="true" hidden="true" outlineLevel="0" max="4103" min="4103" style="544" width="10.49"/>
    <col collapsed="false" customWidth="true" hidden="true" outlineLevel="0" max="4104" min="4104" style="544" width="24.62"/>
    <col collapsed="false" customWidth="false" hidden="true" outlineLevel="0" max="4105" min="4105" style="544" width="8"/>
    <col collapsed="false" customWidth="true" hidden="true" outlineLevel="0" max="4106" min="4106" style="544" width="3.12"/>
    <col collapsed="false" customWidth="true" hidden="true" outlineLevel="0" max="4107" min="4107" style="544" width="11.12"/>
    <col collapsed="false" customWidth="true" hidden="true" outlineLevel="0" max="4108" min="4108" style="544" width="10.12"/>
    <col collapsed="false" customWidth="true" hidden="true" outlineLevel="0" max="4109" min="4109" style="544" width="8.62"/>
    <col collapsed="false" customWidth="true" hidden="true" outlineLevel="0" max="4110" min="4110" style="544" width="10.12"/>
    <col collapsed="false" customWidth="false" hidden="true" outlineLevel="0" max="4347" min="4111" style="544" width="8"/>
    <col collapsed="false" customWidth="true" hidden="true" outlineLevel="0" max="4352" min="4348" style="544" width="9.12"/>
    <col collapsed="false" customWidth="true" hidden="true" outlineLevel="0" max="4354" min="4353" style="544" width="10.49"/>
    <col collapsed="false" customWidth="true" hidden="true" outlineLevel="0" max="4358" min="4355" style="544" width="9.12"/>
    <col collapsed="false" customWidth="true" hidden="true" outlineLevel="0" max="4359" min="4359" style="544" width="10.49"/>
    <col collapsed="false" customWidth="true" hidden="true" outlineLevel="0" max="4360" min="4360" style="544" width="24.62"/>
    <col collapsed="false" customWidth="false" hidden="true" outlineLevel="0" max="4361" min="4361" style="544" width="8"/>
    <col collapsed="false" customWidth="true" hidden="true" outlineLevel="0" max="4362" min="4362" style="544" width="3.12"/>
    <col collapsed="false" customWidth="true" hidden="true" outlineLevel="0" max="4363" min="4363" style="544" width="11.12"/>
    <col collapsed="false" customWidth="true" hidden="true" outlineLevel="0" max="4364" min="4364" style="544" width="10.12"/>
    <col collapsed="false" customWidth="true" hidden="true" outlineLevel="0" max="4365" min="4365" style="544" width="8.62"/>
    <col collapsed="false" customWidth="true" hidden="true" outlineLevel="0" max="4366" min="4366" style="544" width="10.12"/>
    <col collapsed="false" customWidth="false" hidden="true" outlineLevel="0" max="4603" min="4367" style="544" width="8"/>
    <col collapsed="false" customWidth="true" hidden="true" outlineLevel="0" max="4608" min="4604" style="544" width="9.12"/>
    <col collapsed="false" customWidth="true" hidden="true" outlineLevel="0" max="4610" min="4609" style="544" width="10.49"/>
    <col collapsed="false" customWidth="true" hidden="true" outlineLevel="0" max="4614" min="4611" style="544" width="9.12"/>
    <col collapsed="false" customWidth="true" hidden="true" outlineLevel="0" max="4615" min="4615" style="544" width="10.49"/>
    <col collapsed="false" customWidth="true" hidden="true" outlineLevel="0" max="4616" min="4616" style="544" width="24.62"/>
    <col collapsed="false" customWidth="false" hidden="true" outlineLevel="0" max="4617" min="4617" style="544" width="8"/>
    <col collapsed="false" customWidth="true" hidden="true" outlineLevel="0" max="4618" min="4618" style="544" width="3.12"/>
    <col collapsed="false" customWidth="true" hidden="true" outlineLevel="0" max="4619" min="4619" style="544" width="11.12"/>
    <col collapsed="false" customWidth="true" hidden="true" outlineLevel="0" max="4620" min="4620" style="544" width="10.12"/>
    <col collapsed="false" customWidth="true" hidden="true" outlineLevel="0" max="4621" min="4621" style="544" width="8.62"/>
    <col collapsed="false" customWidth="true" hidden="true" outlineLevel="0" max="4622" min="4622" style="544" width="10.12"/>
    <col collapsed="false" customWidth="false" hidden="true" outlineLevel="0" max="4859" min="4623" style="544" width="8"/>
    <col collapsed="false" customWidth="true" hidden="true" outlineLevel="0" max="4864" min="4860" style="544" width="9.12"/>
    <col collapsed="false" customWidth="true" hidden="true" outlineLevel="0" max="4866" min="4865" style="544" width="10.49"/>
    <col collapsed="false" customWidth="true" hidden="true" outlineLevel="0" max="4870" min="4867" style="544" width="9.12"/>
    <col collapsed="false" customWidth="true" hidden="true" outlineLevel="0" max="4871" min="4871" style="544" width="10.49"/>
    <col collapsed="false" customWidth="true" hidden="true" outlineLevel="0" max="4872" min="4872" style="544" width="24.62"/>
    <col collapsed="false" customWidth="false" hidden="true" outlineLevel="0" max="4873" min="4873" style="544" width="8"/>
    <col collapsed="false" customWidth="true" hidden="true" outlineLevel="0" max="4874" min="4874" style="544" width="3.12"/>
    <col collapsed="false" customWidth="true" hidden="true" outlineLevel="0" max="4875" min="4875" style="544" width="11.12"/>
    <col collapsed="false" customWidth="true" hidden="true" outlineLevel="0" max="4876" min="4876" style="544" width="10.12"/>
    <col collapsed="false" customWidth="true" hidden="true" outlineLevel="0" max="4877" min="4877" style="544" width="8.62"/>
    <col collapsed="false" customWidth="true" hidden="true" outlineLevel="0" max="4878" min="4878" style="544" width="10.12"/>
    <col collapsed="false" customWidth="false" hidden="true" outlineLevel="0" max="5115" min="4879" style="544" width="8"/>
    <col collapsed="false" customWidth="true" hidden="true" outlineLevel="0" max="5120" min="5116" style="544" width="9.12"/>
    <col collapsed="false" customWidth="true" hidden="true" outlineLevel="0" max="5122" min="5121" style="544" width="10.49"/>
    <col collapsed="false" customWidth="true" hidden="true" outlineLevel="0" max="5126" min="5123" style="544" width="9.12"/>
    <col collapsed="false" customWidth="true" hidden="true" outlineLevel="0" max="5127" min="5127" style="544" width="10.49"/>
    <col collapsed="false" customWidth="true" hidden="true" outlineLevel="0" max="5128" min="5128" style="544" width="24.62"/>
    <col collapsed="false" customWidth="false" hidden="true" outlineLevel="0" max="5129" min="5129" style="544" width="8"/>
    <col collapsed="false" customWidth="true" hidden="true" outlineLevel="0" max="5130" min="5130" style="544" width="3.12"/>
    <col collapsed="false" customWidth="true" hidden="true" outlineLevel="0" max="5131" min="5131" style="544" width="11.12"/>
    <col collapsed="false" customWidth="true" hidden="true" outlineLevel="0" max="5132" min="5132" style="544" width="10.12"/>
    <col collapsed="false" customWidth="true" hidden="true" outlineLevel="0" max="5133" min="5133" style="544" width="8.62"/>
    <col collapsed="false" customWidth="true" hidden="true" outlineLevel="0" max="5134" min="5134" style="544" width="10.12"/>
    <col collapsed="false" customWidth="false" hidden="true" outlineLevel="0" max="5371" min="5135" style="544" width="8"/>
    <col collapsed="false" customWidth="true" hidden="true" outlineLevel="0" max="5376" min="5372" style="544" width="9.12"/>
    <col collapsed="false" customWidth="true" hidden="true" outlineLevel="0" max="5378" min="5377" style="544" width="10.49"/>
    <col collapsed="false" customWidth="true" hidden="true" outlineLevel="0" max="5382" min="5379" style="544" width="9.12"/>
    <col collapsed="false" customWidth="true" hidden="true" outlineLevel="0" max="5383" min="5383" style="544" width="10.49"/>
    <col collapsed="false" customWidth="true" hidden="true" outlineLevel="0" max="5384" min="5384" style="544" width="24.62"/>
    <col collapsed="false" customWidth="false" hidden="true" outlineLevel="0" max="5385" min="5385" style="544" width="8"/>
    <col collapsed="false" customWidth="true" hidden="true" outlineLevel="0" max="5386" min="5386" style="544" width="3.12"/>
    <col collapsed="false" customWidth="true" hidden="true" outlineLevel="0" max="5387" min="5387" style="544" width="11.12"/>
    <col collapsed="false" customWidth="true" hidden="true" outlineLevel="0" max="5388" min="5388" style="544" width="10.12"/>
    <col collapsed="false" customWidth="true" hidden="true" outlineLevel="0" max="5389" min="5389" style="544" width="8.62"/>
    <col collapsed="false" customWidth="true" hidden="true" outlineLevel="0" max="5390" min="5390" style="544" width="10.12"/>
    <col collapsed="false" customWidth="false" hidden="true" outlineLevel="0" max="5627" min="5391" style="544" width="8"/>
    <col collapsed="false" customWidth="true" hidden="true" outlineLevel="0" max="5632" min="5628" style="544" width="9.12"/>
    <col collapsed="false" customWidth="true" hidden="true" outlineLevel="0" max="5634" min="5633" style="544" width="10.49"/>
    <col collapsed="false" customWidth="true" hidden="true" outlineLevel="0" max="5638" min="5635" style="544" width="9.12"/>
    <col collapsed="false" customWidth="true" hidden="true" outlineLevel="0" max="5639" min="5639" style="544" width="10.49"/>
    <col collapsed="false" customWidth="true" hidden="true" outlineLevel="0" max="5640" min="5640" style="544" width="24.62"/>
    <col collapsed="false" customWidth="false" hidden="true" outlineLevel="0" max="5641" min="5641" style="544" width="8"/>
    <col collapsed="false" customWidth="true" hidden="true" outlineLevel="0" max="5642" min="5642" style="544" width="3.12"/>
    <col collapsed="false" customWidth="true" hidden="true" outlineLevel="0" max="5643" min="5643" style="544" width="11.12"/>
    <col collapsed="false" customWidth="true" hidden="true" outlineLevel="0" max="5644" min="5644" style="544" width="10.12"/>
    <col collapsed="false" customWidth="true" hidden="true" outlineLevel="0" max="5645" min="5645" style="544" width="8.62"/>
    <col collapsed="false" customWidth="true" hidden="true" outlineLevel="0" max="5646" min="5646" style="544" width="10.12"/>
    <col collapsed="false" customWidth="false" hidden="true" outlineLevel="0" max="5883" min="5647" style="544" width="8"/>
    <col collapsed="false" customWidth="true" hidden="true" outlineLevel="0" max="5888" min="5884" style="544" width="9.12"/>
    <col collapsed="false" customWidth="true" hidden="true" outlineLevel="0" max="5890" min="5889" style="544" width="10.49"/>
    <col collapsed="false" customWidth="true" hidden="true" outlineLevel="0" max="5894" min="5891" style="544" width="9.12"/>
    <col collapsed="false" customWidth="true" hidden="true" outlineLevel="0" max="5895" min="5895" style="544" width="10.49"/>
    <col collapsed="false" customWidth="true" hidden="true" outlineLevel="0" max="5896" min="5896" style="544" width="24.62"/>
    <col collapsed="false" customWidth="false" hidden="true" outlineLevel="0" max="5897" min="5897" style="544" width="8"/>
    <col collapsed="false" customWidth="true" hidden="true" outlineLevel="0" max="5898" min="5898" style="544" width="3.12"/>
    <col collapsed="false" customWidth="true" hidden="true" outlineLevel="0" max="5899" min="5899" style="544" width="11.12"/>
    <col collapsed="false" customWidth="true" hidden="true" outlineLevel="0" max="5900" min="5900" style="544" width="10.12"/>
    <col collapsed="false" customWidth="true" hidden="true" outlineLevel="0" max="5901" min="5901" style="544" width="8.62"/>
    <col collapsed="false" customWidth="true" hidden="true" outlineLevel="0" max="5902" min="5902" style="544" width="10.12"/>
    <col collapsed="false" customWidth="false" hidden="true" outlineLevel="0" max="6139" min="5903" style="544" width="8"/>
    <col collapsed="false" customWidth="true" hidden="true" outlineLevel="0" max="6144" min="6140" style="544" width="9.12"/>
    <col collapsed="false" customWidth="true" hidden="true" outlineLevel="0" max="6146" min="6145" style="544" width="10.49"/>
    <col collapsed="false" customWidth="true" hidden="true" outlineLevel="0" max="6150" min="6147" style="544" width="9.12"/>
    <col collapsed="false" customWidth="true" hidden="true" outlineLevel="0" max="6151" min="6151" style="544" width="10.49"/>
    <col collapsed="false" customWidth="true" hidden="true" outlineLevel="0" max="6152" min="6152" style="544" width="24.62"/>
    <col collapsed="false" customWidth="false" hidden="true" outlineLevel="0" max="6153" min="6153" style="544" width="8"/>
    <col collapsed="false" customWidth="true" hidden="true" outlineLevel="0" max="6154" min="6154" style="544" width="3.12"/>
    <col collapsed="false" customWidth="true" hidden="true" outlineLevel="0" max="6155" min="6155" style="544" width="11.12"/>
    <col collapsed="false" customWidth="true" hidden="true" outlineLevel="0" max="6156" min="6156" style="544" width="10.12"/>
    <col collapsed="false" customWidth="true" hidden="true" outlineLevel="0" max="6157" min="6157" style="544" width="8.62"/>
    <col collapsed="false" customWidth="true" hidden="true" outlineLevel="0" max="6158" min="6158" style="544" width="10.12"/>
    <col collapsed="false" customWidth="false" hidden="true" outlineLevel="0" max="6395" min="6159" style="544" width="8"/>
    <col collapsed="false" customWidth="true" hidden="true" outlineLevel="0" max="6400" min="6396" style="544" width="9.12"/>
    <col collapsed="false" customWidth="true" hidden="true" outlineLevel="0" max="6402" min="6401" style="544" width="10.49"/>
    <col collapsed="false" customWidth="true" hidden="true" outlineLevel="0" max="6406" min="6403" style="544" width="9.12"/>
    <col collapsed="false" customWidth="true" hidden="true" outlineLevel="0" max="6407" min="6407" style="544" width="10.49"/>
    <col collapsed="false" customWidth="true" hidden="true" outlineLevel="0" max="6408" min="6408" style="544" width="24.62"/>
    <col collapsed="false" customWidth="false" hidden="true" outlineLevel="0" max="6409" min="6409" style="544" width="8"/>
    <col collapsed="false" customWidth="true" hidden="true" outlineLevel="0" max="6410" min="6410" style="544" width="3.12"/>
    <col collapsed="false" customWidth="true" hidden="true" outlineLevel="0" max="6411" min="6411" style="544" width="11.12"/>
    <col collapsed="false" customWidth="true" hidden="true" outlineLevel="0" max="6412" min="6412" style="544" width="10.12"/>
    <col collapsed="false" customWidth="true" hidden="true" outlineLevel="0" max="6413" min="6413" style="544" width="8.62"/>
    <col collapsed="false" customWidth="true" hidden="true" outlineLevel="0" max="6414" min="6414" style="544" width="10.12"/>
    <col collapsed="false" customWidth="false" hidden="true" outlineLevel="0" max="6651" min="6415" style="544" width="8"/>
    <col collapsed="false" customWidth="true" hidden="true" outlineLevel="0" max="6656" min="6652" style="544" width="9.12"/>
    <col collapsed="false" customWidth="true" hidden="true" outlineLevel="0" max="6658" min="6657" style="544" width="10.49"/>
    <col collapsed="false" customWidth="true" hidden="true" outlineLevel="0" max="6662" min="6659" style="544" width="9.12"/>
    <col collapsed="false" customWidth="true" hidden="true" outlineLevel="0" max="6663" min="6663" style="544" width="10.49"/>
    <col collapsed="false" customWidth="true" hidden="true" outlineLevel="0" max="6664" min="6664" style="544" width="24.62"/>
    <col collapsed="false" customWidth="false" hidden="true" outlineLevel="0" max="6665" min="6665" style="544" width="8"/>
    <col collapsed="false" customWidth="true" hidden="true" outlineLevel="0" max="6666" min="6666" style="544" width="3.12"/>
    <col collapsed="false" customWidth="true" hidden="true" outlineLevel="0" max="6667" min="6667" style="544" width="11.12"/>
    <col collapsed="false" customWidth="true" hidden="true" outlineLevel="0" max="6668" min="6668" style="544" width="10.12"/>
    <col collapsed="false" customWidth="true" hidden="true" outlineLevel="0" max="6669" min="6669" style="544" width="8.62"/>
    <col collapsed="false" customWidth="true" hidden="true" outlineLevel="0" max="6670" min="6670" style="544" width="10.12"/>
    <col collapsed="false" customWidth="false" hidden="true" outlineLevel="0" max="6907" min="6671" style="544" width="8"/>
    <col collapsed="false" customWidth="true" hidden="true" outlineLevel="0" max="6912" min="6908" style="544" width="9.12"/>
    <col collapsed="false" customWidth="true" hidden="true" outlineLevel="0" max="6914" min="6913" style="544" width="10.49"/>
    <col collapsed="false" customWidth="true" hidden="true" outlineLevel="0" max="6918" min="6915" style="544" width="9.12"/>
    <col collapsed="false" customWidth="true" hidden="true" outlineLevel="0" max="6919" min="6919" style="544" width="10.49"/>
    <col collapsed="false" customWidth="true" hidden="true" outlineLevel="0" max="6920" min="6920" style="544" width="24.62"/>
    <col collapsed="false" customWidth="false" hidden="true" outlineLevel="0" max="6921" min="6921" style="544" width="8"/>
    <col collapsed="false" customWidth="true" hidden="true" outlineLevel="0" max="6922" min="6922" style="544" width="3.12"/>
    <col collapsed="false" customWidth="true" hidden="true" outlineLevel="0" max="6923" min="6923" style="544" width="11.12"/>
    <col collapsed="false" customWidth="true" hidden="true" outlineLevel="0" max="6924" min="6924" style="544" width="10.12"/>
    <col collapsed="false" customWidth="true" hidden="true" outlineLevel="0" max="6925" min="6925" style="544" width="8.62"/>
    <col collapsed="false" customWidth="true" hidden="true" outlineLevel="0" max="6926" min="6926" style="544" width="10.12"/>
    <col collapsed="false" customWidth="false" hidden="true" outlineLevel="0" max="7163" min="6927" style="544" width="8"/>
    <col collapsed="false" customWidth="true" hidden="true" outlineLevel="0" max="7168" min="7164" style="544" width="9.12"/>
    <col collapsed="false" customWidth="true" hidden="true" outlineLevel="0" max="7170" min="7169" style="544" width="10.49"/>
    <col collapsed="false" customWidth="true" hidden="true" outlineLevel="0" max="7174" min="7171" style="544" width="9.12"/>
    <col collapsed="false" customWidth="true" hidden="true" outlineLevel="0" max="7175" min="7175" style="544" width="10.49"/>
    <col collapsed="false" customWidth="true" hidden="true" outlineLevel="0" max="7176" min="7176" style="544" width="24.62"/>
    <col collapsed="false" customWidth="false" hidden="true" outlineLevel="0" max="7177" min="7177" style="544" width="8"/>
    <col collapsed="false" customWidth="true" hidden="true" outlineLevel="0" max="7178" min="7178" style="544" width="3.12"/>
    <col collapsed="false" customWidth="true" hidden="true" outlineLevel="0" max="7179" min="7179" style="544" width="11.12"/>
    <col collapsed="false" customWidth="true" hidden="true" outlineLevel="0" max="7180" min="7180" style="544" width="10.12"/>
    <col collapsed="false" customWidth="true" hidden="true" outlineLevel="0" max="7181" min="7181" style="544" width="8.62"/>
    <col collapsed="false" customWidth="true" hidden="true" outlineLevel="0" max="7182" min="7182" style="544" width="10.12"/>
    <col collapsed="false" customWidth="false" hidden="true" outlineLevel="0" max="7419" min="7183" style="544" width="8"/>
    <col collapsed="false" customWidth="true" hidden="true" outlineLevel="0" max="7424" min="7420" style="544" width="9.12"/>
    <col collapsed="false" customWidth="true" hidden="true" outlineLevel="0" max="7426" min="7425" style="544" width="10.49"/>
    <col collapsed="false" customWidth="true" hidden="true" outlineLevel="0" max="7430" min="7427" style="544" width="9.12"/>
    <col collapsed="false" customWidth="true" hidden="true" outlineLevel="0" max="7431" min="7431" style="544" width="10.49"/>
    <col collapsed="false" customWidth="true" hidden="true" outlineLevel="0" max="7432" min="7432" style="544" width="24.62"/>
    <col collapsed="false" customWidth="false" hidden="true" outlineLevel="0" max="7433" min="7433" style="544" width="8"/>
    <col collapsed="false" customWidth="true" hidden="true" outlineLevel="0" max="7434" min="7434" style="544" width="3.12"/>
    <col collapsed="false" customWidth="true" hidden="true" outlineLevel="0" max="7435" min="7435" style="544" width="11.12"/>
    <col collapsed="false" customWidth="true" hidden="true" outlineLevel="0" max="7436" min="7436" style="544" width="10.12"/>
    <col collapsed="false" customWidth="true" hidden="true" outlineLevel="0" max="7437" min="7437" style="544" width="8.62"/>
    <col collapsed="false" customWidth="true" hidden="true" outlineLevel="0" max="7438" min="7438" style="544" width="10.12"/>
    <col collapsed="false" customWidth="false" hidden="true" outlineLevel="0" max="7675" min="7439" style="544" width="8"/>
    <col collapsed="false" customWidth="true" hidden="true" outlineLevel="0" max="7680" min="7676" style="544" width="9.12"/>
    <col collapsed="false" customWidth="true" hidden="true" outlineLevel="0" max="7682" min="7681" style="544" width="10.49"/>
    <col collapsed="false" customWidth="true" hidden="true" outlineLevel="0" max="7686" min="7683" style="544" width="9.12"/>
    <col collapsed="false" customWidth="true" hidden="true" outlineLevel="0" max="7687" min="7687" style="544" width="10.49"/>
    <col collapsed="false" customWidth="true" hidden="true" outlineLevel="0" max="7688" min="7688" style="544" width="24.62"/>
    <col collapsed="false" customWidth="false" hidden="true" outlineLevel="0" max="7689" min="7689" style="544" width="8"/>
    <col collapsed="false" customWidth="true" hidden="true" outlineLevel="0" max="7690" min="7690" style="544" width="3.12"/>
    <col collapsed="false" customWidth="true" hidden="true" outlineLevel="0" max="7691" min="7691" style="544" width="11.12"/>
    <col collapsed="false" customWidth="true" hidden="true" outlineLevel="0" max="7692" min="7692" style="544" width="10.12"/>
    <col collapsed="false" customWidth="true" hidden="true" outlineLevel="0" max="7693" min="7693" style="544" width="8.62"/>
    <col collapsed="false" customWidth="true" hidden="true" outlineLevel="0" max="7694" min="7694" style="544" width="10.12"/>
    <col collapsed="false" customWidth="false" hidden="true" outlineLevel="0" max="7931" min="7695" style="544" width="8"/>
    <col collapsed="false" customWidth="true" hidden="true" outlineLevel="0" max="7936" min="7932" style="544" width="9.12"/>
    <col collapsed="false" customWidth="true" hidden="true" outlineLevel="0" max="7938" min="7937" style="544" width="10.49"/>
    <col collapsed="false" customWidth="true" hidden="true" outlineLevel="0" max="7942" min="7939" style="544" width="9.12"/>
    <col collapsed="false" customWidth="true" hidden="true" outlineLevel="0" max="7943" min="7943" style="544" width="10.49"/>
    <col collapsed="false" customWidth="true" hidden="true" outlineLevel="0" max="7944" min="7944" style="544" width="24.62"/>
    <col collapsed="false" customWidth="false" hidden="true" outlineLevel="0" max="7945" min="7945" style="544" width="8"/>
    <col collapsed="false" customWidth="true" hidden="true" outlineLevel="0" max="7946" min="7946" style="544" width="3.12"/>
    <col collapsed="false" customWidth="true" hidden="true" outlineLevel="0" max="7947" min="7947" style="544" width="11.12"/>
    <col collapsed="false" customWidth="true" hidden="true" outlineLevel="0" max="7948" min="7948" style="544" width="10.12"/>
    <col collapsed="false" customWidth="true" hidden="true" outlineLevel="0" max="7949" min="7949" style="544" width="8.62"/>
    <col collapsed="false" customWidth="true" hidden="true" outlineLevel="0" max="7950" min="7950" style="544" width="10.12"/>
    <col collapsed="false" customWidth="false" hidden="true" outlineLevel="0" max="8187" min="7951" style="544" width="8"/>
    <col collapsed="false" customWidth="true" hidden="true" outlineLevel="0" max="8192" min="8188" style="544" width="9.12"/>
    <col collapsed="false" customWidth="true" hidden="true" outlineLevel="0" max="8194" min="8193" style="544" width="10.49"/>
    <col collapsed="false" customWidth="true" hidden="true" outlineLevel="0" max="8198" min="8195" style="544" width="9.12"/>
    <col collapsed="false" customWidth="true" hidden="true" outlineLevel="0" max="8199" min="8199" style="544" width="10.49"/>
    <col collapsed="false" customWidth="true" hidden="true" outlineLevel="0" max="8200" min="8200" style="544" width="24.62"/>
    <col collapsed="false" customWidth="false" hidden="true" outlineLevel="0" max="8201" min="8201" style="544" width="8"/>
    <col collapsed="false" customWidth="true" hidden="true" outlineLevel="0" max="8202" min="8202" style="544" width="3.12"/>
    <col collapsed="false" customWidth="true" hidden="true" outlineLevel="0" max="8203" min="8203" style="544" width="11.12"/>
    <col collapsed="false" customWidth="true" hidden="true" outlineLevel="0" max="8204" min="8204" style="544" width="10.12"/>
    <col collapsed="false" customWidth="true" hidden="true" outlineLevel="0" max="8205" min="8205" style="544" width="8.62"/>
    <col collapsed="false" customWidth="true" hidden="true" outlineLevel="0" max="8206" min="8206" style="544" width="10.12"/>
    <col collapsed="false" customWidth="false" hidden="true" outlineLevel="0" max="8443" min="8207" style="544" width="8"/>
    <col collapsed="false" customWidth="true" hidden="true" outlineLevel="0" max="8448" min="8444" style="544" width="9.12"/>
    <col collapsed="false" customWidth="true" hidden="true" outlineLevel="0" max="8450" min="8449" style="544" width="10.49"/>
    <col collapsed="false" customWidth="true" hidden="true" outlineLevel="0" max="8454" min="8451" style="544" width="9.12"/>
    <col collapsed="false" customWidth="true" hidden="true" outlineLevel="0" max="8455" min="8455" style="544" width="10.49"/>
    <col collapsed="false" customWidth="true" hidden="true" outlineLevel="0" max="8456" min="8456" style="544" width="24.62"/>
    <col collapsed="false" customWidth="false" hidden="true" outlineLevel="0" max="8457" min="8457" style="544" width="8"/>
    <col collapsed="false" customWidth="true" hidden="true" outlineLevel="0" max="8458" min="8458" style="544" width="3.12"/>
    <col collapsed="false" customWidth="true" hidden="true" outlineLevel="0" max="8459" min="8459" style="544" width="11.12"/>
    <col collapsed="false" customWidth="true" hidden="true" outlineLevel="0" max="8460" min="8460" style="544" width="10.12"/>
    <col collapsed="false" customWidth="true" hidden="true" outlineLevel="0" max="8461" min="8461" style="544" width="8.62"/>
    <col collapsed="false" customWidth="true" hidden="true" outlineLevel="0" max="8462" min="8462" style="544" width="10.12"/>
    <col collapsed="false" customWidth="false" hidden="true" outlineLevel="0" max="8699" min="8463" style="544" width="8"/>
    <col collapsed="false" customWidth="true" hidden="true" outlineLevel="0" max="8704" min="8700" style="544" width="9.12"/>
    <col collapsed="false" customWidth="true" hidden="true" outlineLevel="0" max="8706" min="8705" style="544" width="10.49"/>
    <col collapsed="false" customWidth="true" hidden="true" outlineLevel="0" max="8710" min="8707" style="544" width="9.12"/>
    <col collapsed="false" customWidth="true" hidden="true" outlineLevel="0" max="8711" min="8711" style="544" width="10.49"/>
    <col collapsed="false" customWidth="true" hidden="true" outlineLevel="0" max="8712" min="8712" style="544" width="24.62"/>
    <col collapsed="false" customWidth="false" hidden="true" outlineLevel="0" max="8713" min="8713" style="544" width="8"/>
    <col collapsed="false" customWidth="true" hidden="true" outlineLevel="0" max="8714" min="8714" style="544" width="3.12"/>
    <col collapsed="false" customWidth="true" hidden="true" outlineLevel="0" max="8715" min="8715" style="544" width="11.12"/>
    <col collapsed="false" customWidth="true" hidden="true" outlineLevel="0" max="8716" min="8716" style="544" width="10.12"/>
    <col collapsed="false" customWidth="true" hidden="true" outlineLevel="0" max="8717" min="8717" style="544" width="8.62"/>
    <col collapsed="false" customWidth="true" hidden="true" outlineLevel="0" max="8718" min="8718" style="544" width="10.12"/>
    <col collapsed="false" customWidth="false" hidden="true" outlineLevel="0" max="8955" min="8719" style="544" width="8"/>
    <col collapsed="false" customWidth="true" hidden="true" outlineLevel="0" max="8960" min="8956" style="544" width="9.12"/>
    <col collapsed="false" customWidth="true" hidden="true" outlineLevel="0" max="8962" min="8961" style="544" width="10.49"/>
    <col collapsed="false" customWidth="true" hidden="true" outlineLevel="0" max="8966" min="8963" style="544" width="9.12"/>
    <col collapsed="false" customWidth="true" hidden="true" outlineLevel="0" max="8967" min="8967" style="544" width="10.49"/>
    <col collapsed="false" customWidth="true" hidden="true" outlineLevel="0" max="8968" min="8968" style="544" width="24.62"/>
    <col collapsed="false" customWidth="false" hidden="true" outlineLevel="0" max="8969" min="8969" style="544" width="8"/>
    <col collapsed="false" customWidth="true" hidden="true" outlineLevel="0" max="8970" min="8970" style="544" width="3.12"/>
    <col collapsed="false" customWidth="true" hidden="true" outlineLevel="0" max="8971" min="8971" style="544" width="11.12"/>
    <col collapsed="false" customWidth="true" hidden="true" outlineLevel="0" max="8972" min="8972" style="544" width="10.12"/>
    <col collapsed="false" customWidth="true" hidden="true" outlineLevel="0" max="8973" min="8973" style="544" width="8.62"/>
    <col collapsed="false" customWidth="true" hidden="true" outlineLevel="0" max="8974" min="8974" style="544" width="10.12"/>
    <col collapsed="false" customWidth="false" hidden="true" outlineLevel="0" max="9211" min="8975" style="544" width="8"/>
    <col collapsed="false" customWidth="true" hidden="true" outlineLevel="0" max="9216" min="9212" style="544" width="9.12"/>
    <col collapsed="false" customWidth="true" hidden="true" outlineLevel="0" max="9218" min="9217" style="544" width="10.49"/>
    <col collapsed="false" customWidth="true" hidden="true" outlineLevel="0" max="9222" min="9219" style="544" width="9.12"/>
    <col collapsed="false" customWidth="true" hidden="true" outlineLevel="0" max="9223" min="9223" style="544" width="10.49"/>
    <col collapsed="false" customWidth="true" hidden="true" outlineLevel="0" max="9224" min="9224" style="544" width="24.62"/>
    <col collapsed="false" customWidth="false" hidden="true" outlineLevel="0" max="9225" min="9225" style="544" width="8"/>
    <col collapsed="false" customWidth="true" hidden="true" outlineLevel="0" max="9226" min="9226" style="544" width="3.12"/>
    <col collapsed="false" customWidth="true" hidden="true" outlineLevel="0" max="9227" min="9227" style="544" width="11.12"/>
    <col collapsed="false" customWidth="true" hidden="true" outlineLevel="0" max="9228" min="9228" style="544" width="10.12"/>
    <col collapsed="false" customWidth="true" hidden="true" outlineLevel="0" max="9229" min="9229" style="544" width="8.62"/>
    <col collapsed="false" customWidth="true" hidden="true" outlineLevel="0" max="9230" min="9230" style="544" width="10.12"/>
    <col collapsed="false" customWidth="false" hidden="true" outlineLevel="0" max="9467" min="9231" style="544" width="8"/>
    <col collapsed="false" customWidth="true" hidden="true" outlineLevel="0" max="9472" min="9468" style="544" width="9.12"/>
    <col collapsed="false" customWidth="true" hidden="true" outlineLevel="0" max="9474" min="9473" style="544" width="10.49"/>
    <col collapsed="false" customWidth="true" hidden="true" outlineLevel="0" max="9478" min="9475" style="544" width="9.12"/>
    <col collapsed="false" customWidth="true" hidden="true" outlineLevel="0" max="9479" min="9479" style="544" width="10.49"/>
    <col collapsed="false" customWidth="true" hidden="true" outlineLevel="0" max="9480" min="9480" style="544" width="24.62"/>
    <col collapsed="false" customWidth="false" hidden="true" outlineLevel="0" max="9481" min="9481" style="544" width="8"/>
    <col collapsed="false" customWidth="true" hidden="true" outlineLevel="0" max="9482" min="9482" style="544" width="3.12"/>
    <col collapsed="false" customWidth="true" hidden="true" outlineLevel="0" max="9483" min="9483" style="544" width="11.12"/>
    <col collapsed="false" customWidth="true" hidden="true" outlineLevel="0" max="9484" min="9484" style="544" width="10.12"/>
    <col collapsed="false" customWidth="true" hidden="true" outlineLevel="0" max="9485" min="9485" style="544" width="8.62"/>
    <col collapsed="false" customWidth="true" hidden="true" outlineLevel="0" max="9486" min="9486" style="544" width="10.12"/>
    <col collapsed="false" customWidth="false" hidden="true" outlineLevel="0" max="9723" min="9487" style="544" width="8"/>
    <col collapsed="false" customWidth="true" hidden="true" outlineLevel="0" max="9728" min="9724" style="544" width="9.12"/>
    <col collapsed="false" customWidth="true" hidden="true" outlineLevel="0" max="9730" min="9729" style="544" width="10.49"/>
    <col collapsed="false" customWidth="true" hidden="true" outlineLevel="0" max="9734" min="9731" style="544" width="9.12"/>
    <col collapsed="false" customWidth="true" hidden="true" outlineLevel="0" max="9735" min="9735" style="544" width="10.49"/>
    <col collapsed="false" customWidth="true" hidden="true" outlineLevel="0" max="9736" min="9736" style="544" width="24.62"/>
    <col collapsed="false" customWidth="false" hidden="true" outlineLevel="0" max="9737" min="9737" style="544" width="8"/>
    <col collapsed="false" customWidth="true" hidden="true" outlineLevel="0" max="9738" min="9738" style="544" width="3.12"/>
    <col collapsed="false" customWidth="true" hidden="true" outlineLevel="0" max="9739" min="9739" style="544" width="11.12"/>
    <col collapsed="false" customWidth="true" hidden="true" outlineLevel="0" max="9740" min="9740" style="544" width="10.12"/>
    <col collapsed="false" customWidth="true" hidden="true" outlineLevel="0" max="9741" min="9741" style="544" width="8.62"/>
    <col collapsed="false" customWidth="true" hidden="true" outlineLevel="0" max="9742" min="9742" style="544" width="10.12"/>
    <col collapsed="false" customWidth="false" hidden="true" outlineLevel="0" max="9979" min="9743" style="544" width="8"/>
    <col collapsed="false" customWidth="true" hidden="true" outlineLevel="0" max="9984" min="9980" style="544" width="9.12"/>
    <col collapsed="false" customWidth="true" hidden="true" outlineLevel="0" max="9986" min="9985" style="544" width="10.49"/>
    <col collapsed="false" customWidth="true" hidden="true" outlineLevel="0" max="9990" min="9987" style="544" width="9.12"/>
    <col collapsed="false" customWidth="true" hidden="true" outlineLevel="0" max="9991" min="9991" style="544" width="10.49"/>
    <col collapsed="false" customWidth="true" hidden="true" outlineLevel="0" max="9992" min="9992" style="544" width="24.62"/>
    <col collapsed="false" customWidth="false" hidden="true" outlineLevel="0" max="9993" min="9993" style="544" width="8"/>
    <col collapsed="false" customWidth="true" hidden="true" outlineLevel="0" max="9994" min="9994" style="544" width="3.12"/>
    <col collapsed="false" customWidth="true" hidden="true" outlineLevel="0" max="9995" min="9995" style="544" width="11.12"/>
    <col collapsed="false" customWidth="true" hidden="true" outlineLevel="0" max="9996" min="9996" style="544" width="10.12"/>
    <col collapsed="false" customWidth="true" hidden="true" outlineLevel="0" max="9997" min="9997" style="544" width="8.62"/>
    <col collapsed="false" customWidth="true" hidden="true" outlineLevel="0" max="9998" min="9998" style="544" width="10.12"/>
    <col collapsed="false" customWidth="false" hidden="true" outlineLevel="0" max="10235" min="9999" style="544" width="8"/>
    <col collapsed="false" customWidth="true" hidden="true" outlineLevel="0" max="10240" min="10236" style="544" width="9.12"/>
    <col collapsed="false" customWidth="true" hidden="true" outlineLevel="0" max="10242" min="10241" style="544" width="10.49"/>
    <col collapsed="false" customWidth="true" hidden="true" outlineLevel="0" max="10246" min="10243" style="544" width="9.12"/>
    <col collapsed="false" customWidth="true" hidden="true" outlineLevel="0" max="10247" min="10247" style="544" width="10.49"/>
    <col collapsed="false" customWidth="true" hidden="true" outlineLevel="0" max="10248" min="10248" style="544" width="24.62"/>
    <col collapsed="false" customWidth="false" hidden="true" outlineLevel="0" max="10249" min="10249" style="544" width="8"/>
    <col collapsed="false" customWidth="true" hidden="true" outlineLevel="0" max="10250" min="10250" style="544" width="3.12"/>
    <col collapsed="false" customWidth="true" hidden="true" outlineLevel="0" max="10251" min="10251" style="544" width="11.12"/>
    <col collapsed="false" customWidth="true" hidden="true" outlineLevel="0" max="10252" min="10252" style="544" width="10.12"/>
    <col collapsed="false" customWidth="true" hidden="true" outlineLevel="0" max="10253" min="10253" style="544" width="8.62"/>
    <col collapsed="false" customWidth="true" hidden="true" outlineLevel="0" max="10254" min="10254" style="544" width="10.12"/>
    <col collapsed="false" customWidth="false" hidden="true" outlineLevel="0" max="10491" min="10255" style="544" width="8"/>
    <col collapsed="false" customWidth="true" hidden="true" outlineLevel="0" max="10496" min="10492" style="544" width="9.12"/>
    <col collapsed="false" customWidth="true" hidden="true" outlineLevel="0" max="10498" min="10497" style="544" width="10.49"/>
    <col collapsed="false" customWidth="true" hidden="true" outlineLevel="0" max="10502" min="10499" style="544" width="9.12"/>
    <col collapsed="false" customWidth="true" hidden="true" outlineLevel="0" max="10503" min="10503" style="544" width="10.49"/>
    <col collapsed="false" customWidth="true" hidden="true" outlineLevel="0" max="10504" min="10504" style="544" width="24.62"/>
    <col collapsed="false" customWidth="false" hidden="true" outlineLevel="0" max="10505" min="10505" style="544" width="8"/>
    <col collapsed="false" customWidth="true" hidden="true" outlineLevel="0" max="10506" min="10506" style="544" width="3.12"/>
    <col collapsed="false" customWidth="true" hidden="true" outlineLevel="0" max="10507" min="10507" style="544" width="11.12"/>
    <col collapsed="false" customWidth="true" hidden="true" outlineLevel="0" max="10508" min="10508" style="544" width="10.12"/>
    <col collapsed="false" customWidth="true" hidden="true" outlineLevel="0" max="10509" min="10509" style="544" width="8.62"/>
    <col collapsed="false" customWidth="true" hidden="true" outlineLevel="0" max="10510" min="10510" style="544" width="10.12"/>
    <col collapsed="false" customWidth="false" hidden="true" outlineLevel="0" max="10747" min="10511" style="544" width="8"/>
    <col collapsed="false" customWidth="true" hidden="true" outlineLevel="0" max="10752" min="10748" style="544" width="9.12"/>
    <col collapsed="false" customWidth="true" hidden="true" outlineLevel="0" max="10754" min="10753" style="544" width="10.49"/>
    <col collapsed="false" customWidth="true" hidden="true" outlineLevel="0" max="10758" min="10755" style="544" width="9.12"/>
    <col collapsed="false" customWidth="true" hidden="true" outlineLevel="0" max="10759" min="10759" style="544" width="10.49"/>
    <col collapsed="false" customWidth="true" hidden="true" outlineLevel="0" max="10760" min="10760" style="544" width="24.62"/>
    <col collapsed="false" customWidth="false" hidden="true" outlineLevel="0" max="10761" min="10761" style="544" width="8"/>
    <col collapsed="false" customWidth="true" hidden="true" outlineLevel="0" max="10762" min="10762" style="544" width="3.12"/>
    <col collapsed="false" customWidth="true" hidden="true" outlineLevel="0" max="10763" min="10763" style="544" width="11.12"/>
    <col collapsed="false" customWidth="true" hidden="true" outlineLevel="0" max="10764" min="10764" style="544" width="10.12"/>
    <col collapsed="false" customWidth="true" hidden="true" outlineLevel="0" max="10765" min="10765" style="544" width="8.62"/>
    <col collapsed="false" customWidth="true" hidden="true" outlineLevel="0" max="10766" min="10766" style="544" width="10.12"/>
    <col collapsed="false" customWidth="false" hidden="true" outlineLevel="0" max="11003" min="10767" style="544" width="8"/>
    <col collapsed="false" customWidth="true" hidden="true" outlineLevel="0" max="11008" min="11004" style="544" width="9.12"/>
    <col collapsed="false" customWidth="true" hidden="true" outlineLevel="0" max="11010" min="11009" style="544" width="10.49"/>
    <col collapsed="false" customWidth="true" hidden="true" outlineLevel="0" max="11014" min="11011" style="544" width="9.12"/>
    <col collapsed="false" customWidth="true" hidden="true" outlineLevel="0" max="11015" min="11015" style="544" width="10.49"/>
    <col collapsed="false" customWidth="true" hidden="true" outlineLevel="0" max="11016" min="11016" style="544" width="24.62"/>
    <col collapsed="false" customWidth="false" hidden="true" outlineLevel="0" max="11017" min="11017" style="544" width="8"/>
    <col collapsed="false" customWidth="true" hidden="true" outlineLevel="0" max="11018" min="11018" style="544" width="3.12"/>
    <col collapsed="false" customWidth="true" hidden="true" outlineLevel="0" max="11019" min="11019" style="544" width="11.12"/>
    <col collapsed="false" customWidth="true" hidden="true" outlineLevel="0" max="11020" min="11020" style="544" width="10.12"/>
    <col collapsed="false" customWidth="true" hidden="true" outlineLevel="0" max="11021" min="11021" style="544" width="8.62"/>
    <col collapsed="false" customWidth="true" hidden="true" outlineLevel="0" max="11022" min="11022" style="544" width="10.12"/>
    <col collapsed="false" customWidth="false" hidden="true" outlineLevel="0" max="11259" min="11023" style="544" width="8"/>
    <col collapsed="false" customWidth="true" hidden="true" outlineLevel="0" max="11264" min="11260" style="544" width="9.12"/>
    <col collapsed="false" customWidth="true" hidden="true" outlineLevel="0" max="11266" min="11265" style="544" width="10.49"/>
    <col collapsed="false" customWidth="true" hidden="true" outlineLevel="0" max="11270" min="11267" style="544" width="9.12"/>
    <col collapsed="false" customWidth="true" hidden="true" outlineLevel="0" max="11271" min="11271" style="544" width="10.49"/>
    <col collapsed="false" customWidth="true" hidden="true" outlineLevel="0" max="11272" min="11272" style="544" width="24.62"/>
    <col collapsed="false" customWidth="false" hidden="true" outlineLevel="0" max="11273" min="11273" style="544" width="8"/>
    <col collapsed="false" customWidth="true" hidden="true" outlineLevel="0" max="11274" min="11274" style="544" width="3.12"/>
    <col collapsed="false" customWidth="true" hidden="true" outlineLevel="0" max="11275" min="11275" style="544" width="11.12"/>
    <col collapsed="false" customWidth="true" hidden="true" outlineLevel="0" max="11276" min="11276" style="544" width="10.12"/>
    <col collapsed="false" customWidth="true" hidden="true" outlineLevel="0" max="11277" min="11277" style="544" width="8.62"/>
    <col collapsed="false" customWidth="true" hidden="true" outlineLevel="0" max="11278" min="11278" style="544" width="10.12"/>
    <col collapsed="false" customWidth="false" hidden="true" outlineLevel="0" max="11515" min="11279" style="544" width="8"/>
    <col collapsed="false" customWidth="true" hidden="true" outlineLevel="0" max="11520" min="11516" style="544" width="9.12"/>
    <col collapsed="false" customWidth="true" hidden="true" outlineLevel="0" max="11522" min="11521" style="544" width="10.49"/>
    <col collapsed="false" customWidth="true" hidden="true" outlineLevel="0" max="11526" min="11523" style="544" width="9.12"/>
    <col collapsed="false" customWidth="true" hidden="true" outlineLevel="0" max="11527" min="11527" style="544" width="10.49"/>
    <col collapsed="false" customWidth="true" hidden="true" outlineLevel="0" max="11528" min="11528" style="544" width="24.62"/>
    <col collapsed="false" customWidth="false" hidden="true" outlineLevel="0" max="11529" min="11529" style="544" width="8"/>
    <col collapsed="false" customWidth="true" hidden="true" outlineLevel="0" max="11530" min="11530" style="544" width="3.12"/>
    <col collapsed="false" customWidth="true" hidden="true" outlineLevel="0" max="11531" min="11531" style="544" width="11.12"/>
    <col collapsed="false" customWidth="true" hidden="true" outlineLevel="0" max="11532" min="11532" style="544" width="10.12"/>
    <col collapsed="false" customWidth="true" hidden="true" outlineLevel="0" max="11533" min="11533" style="544" width="8.62"/>
    <col collapsed="false" customWidth="true" hidden="true" outlineLevel="0" max="11534" min="11534" style="544" width="10.12"/>
    <col collapsed="false" customWidth="false" hidden="true" outlineLevel="0" max="11771" min="11535" style="544" width="8"/>
    <col collapsed="false" customWidth="true" hidden="true" outlineLevel="0" max="11776" min="11772" style="544" width="9.12"/>
    <col collapsed="false" customWidth="true" hidden="true" outlineLevel="0" max="11778" min="11777" style="544" width="10.49"/>
    <col collapsed="false" customWidth="true" hidden="true" outlineLevel="0" max="11782" min="11779" style="544" width="9.12"/>
    <col collapsed="false" customWidth="true" hidden="true" outlineLevel="0" max="11783" min="11783" style="544" width="10.49"/>
    <col collapsed="false" customWidth="true" hidden="true" outlineLevel="0" max="11784" min="11784" style="544" width="24.62"/>
    <col collapsed="false" customWidth="false" hidden="true" outlineLevel="0" max="11785" min="11785" style="544" width="8"/>
    <col collapsed="false" customWidth="true" hidden="true" outlineLevel="0" max="11786" min="11786" style="544" width="3.12"/>
    <col collapsed="false" customWidth="true" hidden="true" outlineLevel="0" max="11787" min="11787" style="544" width="11.12"/>
    <col collapsed="false" customWidth="true" hidden="true" outlineLevel="0" max="11788" min="11788" style="544" width="10.12"/>
    <col collapsed="false" customWidth="true" hidden="true" outlineLevel="0" max="11789" min="11789" style="544" width="8.62"/>
    <col collapsed="false" customWidth="true" hidden="true" outlineLevel="0" max="11790" min="11790" style="544" width="10.12"/>
    <col collapsed="false" customWidth="false" hidden="true" outlineLevel="0" max="12027" min="11791" style="544" width="8"/>
    <col collapsed="false" customWidth="true" hidden="true" outlineLevel="0" max="12032" min="12028" style="544" width="9.12"/>
    <col collapsed="false" customWidth="true" hidden="true" outlineLevel="0" max="12034" min="12033" style="544" width="10.49"/>
    <col collapsed="false" customWidth="true" hidden="true" outlineLevel="0" max="12038" min="12035" style="544" width="9.12"/>
    <col collapsed="false" customWidth="true" hidden="true" outlineLevel="0" max="12039" min="12039" style="544" width="10.49"/>
    <col collapsed="false" customWidth="true" hidden="true" outlineLevel="0" max="12040" min="12040" style="544" width="24.62"/>
    <col collapsed="false" customWidth="false" hidden="true" outlineLevel="0" max="12041" min="12041" style="544" width="8"/>
    <col collapsed="false" customWidth="true" hidden="true" outlineLevel="0" max="12042" min="12042" style="544" width="3.12"/>
    <col collapsed="false" customWidth="true" hidden="true" outlineLevel="0" max="12043" min="12043" style="544" width="11.12"/>
    <col collapsed="false" customWidth="true" hidden="true" outlineLevel="0" max="12044" min="12044" style="544" width="10.12"/>
    <col collapsed="false" customWidth="true" hidden="true" outlineLevel="0" max="12045" min="12045" style="544" width="8.62"/>
    <col collapsed="false" customWidth="true" hidden="true" outlineLevel="0" max="12046" min="12046" style="544" width="10.12"/>
    <col collapsed="false" customWidth="false" hidden="true" outlineLevel="0" max="12283" min="12047" style="544" width="8"/>
    <col collapsed="false" customWidth="true" hidden="true" outlineLevel="0" max="12288" min="12284" style="544" width="9.12"/>
    <col collapsed="false" customWidth="true" hidden="true" outlineLevel="0" max="12290" min="12289" style="544" width="10.49"/>
    <col collapsed="false" customWidth="true" hidden="true" outlineLevel="0" max="12294" min="12291" style="544" width="9.12"/>
    <col collapsed="false" customWidth="true" hidden="true" outlineLevel="0" max="12295" min="12295" style="544" width="10.49"/>
    <col collapsed="false" customWidth="true" hidden="true" outlineLevel="0" max="12296" min="12296" style="544" width="24.62"/>
    <col collapsed="false" customWidth="false" hidden="true" outlineLevel="0" max="12297" min="12297" style="544" width="8"/>
    <col collapsed="false" customWidth="true" hidden="true" outlineLevel="0" max="12298" min="12298" style="544" width="3.12"/>
    <col collapsed="false" customWidth="true" hidden="true" outlineLevel="0" max="12299" min="12299" style="544" width="11.12"/>
    <col collapsed="false" customWidth="true" hidden="true" outlineLevel="0" max="12300" min="12300" style="544" width="10.12"/>
    <col collapsed="false" customWidth="true" hidden="true" outlineLevel="0" max="12301" min="12301" style="544" width="8.62"/>
    <col collapsed="false" customWidth="true" hidden="true" outlineLevel="0" max="12302" min="12302" style="544" width="10.12"/>
    <col collapsed="false" customWidth="false" hidden="true" outlineLevel="0" max="12539" min="12303" style="544" width="8"/>
    <col collapsed="false" customWidth="true" hidden="true" outlineLevel="0" max="12544" min="12540" style="544" width="9.12"/>
    <col collapsed="false" customWidth="true" hidden="true" outlineLevel="0" max="12546" min="12545" style="544" width="10.49"/>
    <col collapsed="false" customWidth="true" hidden="true" outlineLevel="0" max="12550" min="12547" style="544" width="9.12"/>
    <col collapsed="false" customWidth="true" hidden="true" outlineLevel="0" max="12551" min="12551" style="544" width="10.49"/>
    <col collapsed="false" customWidth="true" hidden="true" outlineLevel="0" max="12552" min="12552" style="544" width="24.62"/>
    <col collapsed="false" customWidth="false" hidden="true" outlineLevel="0" max="12553" min="12553" style="544" width="8"/>
    <col collapsed="false" customWidth="true" hidden="true" outlineLevel="0" max="12554" min="12554" style="544" width="3.12"/>
    <col collapsed="false" customWidth="true" hidden="true" outlineLevel="0" max="12555" min="12555" style="544" width="11.12"/>
    <col collapsed="false" customWidth="true" hidden="true" outlineLevel="0" max="12556" min="12556" style="544" width="10.12"/>
    <col collapsed="false" customWidth="true" hidden="true" outlineLevel="0" max="12557" min="12557" style="544" width="8.62"/>
    <col collapsed="false" customWidth="true" hidden="true" outlineLevel="0" max="12558" min="12558" style="544" width="10.12"/>
    <col collapsed="false" customWidth="false" hidden="true" outlineLevel="0" max="12795" min="12559" style="544" width="8"/>
    <col collapsed="false" customWidth="true" hidden="true" outlineLevel="0" max="12800" min="12796" style="544" width="9.12"/>
    <col collapsed="false" customWidth="true" hidden="true" outlineLevel="0" max="12802" min="12801" style="544" width="10.49"/>
    <col collapsed="false" customWidth="true" hidden="true" outlineLevel="0" max="12806" min="12803" style="544" width="9.12"/>
    <col collapsed="false" customWidth="true" hidden="true" outlineLevel="0" max="12807" min="12807" style="544" width="10.49"/>
    <col collapsed="false" customWidth="true" hidden="true" outlineLevel="0" max="12808" min="12808" style="544" width="24.62"/>
    <col collapsed="false" customWidth="false" hidden="true" outlineLevel="0" max="12809" min="12809" style="544" width="8"/>
    <col collapsed="false" customWidth="true" hidden="true" outlineLevel="0" max="12810" min="12810" style="544" width="3.12"/>
    <col collapsed="false" customWidth="true" hidden="true" outlineLevel="0" max="12811" min="12811" style="544" width="11.12"/>
    <col collapsed="false" customWidth="true" hidden="true" outlineLevel="0" max="12812" min="12812" style="544" width="10.12"/>
    <col collapsed="false" customWidth="true" hidden="true" outlineLevel="0" max="12813" min="12813" style="544" width="8.62"/>
    <col collapsed="false" customWidth="true" hidden="true" outlineLevel="0" max="12814" min="12814" style="544" width="10.12"/>
    <col collapsed="false" customWidth="false" hidden="true" outlineLevel="0" max="13051" min="12815" style="544" width="8"/>
    <col collapsed="false" customWidth="true" hidden="true" outlineLevel="0" max="13056" min="13052" style="544" width="9.12"/>
    <col collapsed="false" customWidth="true" hidden="true" outlineLevel="0" max="13058" min="13057" style="544" width="10.49"/>
    <col collapsed="false" customWidth="true" hidden="true" outlineLevel="0" max="13062" min="13059" style="544" width="9.12"/>
    <col collapsed="false" customWidth="true" hidden="true" outlineLevel="0" max="13063" min="13063" style="544" width="10.49"/>
    <col collapsed="false" customWidth="true" hidden="true" outlineLevel="0" max="13064" min="13064" style="544" width="24.62"/>
    <col collapsed="false" customWidth="false" hidden="true" outlineLevel="0" max="13065" min="13065" style="544" width="8"/>
    <col collapsed="false" customWidth="true" hidden="true" outlineLevel="0" max="13066" min="13066" style="544" width="3.12"/>
    <col collapsed="false" customWidth="true" hidden="true" outlineLevel="0" max="13067" min="13067" style="544" width="11.12"/>
    <col collapsed="false" customWidth="true" hidden="true" outlineLevel="0" max="13068" min="13068" style="544" width="10.12"/>
    <col collapsed="false" customWidth="true" hidden="true" outlineLevel="0" max="13069" min="13069" style="544" width="8.62"/>
    <col collapsed="false" customWidth="true" hidden="true" outlineLevel="0" max="13070" min="13070" style="544" width="10.12"/>
    <col collapsed="false" customWidth="false" hidden="true" outlineLevel="0" max="13307" min="13071" style="544" width="8"/>
    <col collapsed="false" customWidth="true" hidden="true" outlineLevel="0" max="13312" min="13308" style="544" width="9.12"/>
    <col collapsed="false" customWidth="true" hidden="true" outlineLevel="0" max="13314" min="13313" style="544" width="10.49"/>
    <col collapsed="false" customWidth="true" hidden="true" outlineLevel="0" max="13318" min="13315" style="544" width="9.12"/>
    <col collapsed="false" customWidth="true" hidden="true" outlineLevel="0" max="13319" min="13319" style="544" width="10.49"/>
    <col collapsed="false" customWidth="true" hidden="true" outlineLevel="0" max="13320" min="13320" style="544" width="24.62"/>
    <col collapsed="false" customWidth="false" hidden="true" outlineLevel="0" max="13321" min="13321" style="544" width="8"/>
    <col collapsed="false" customWidth="true" hidden="true" outlineLevel="0" max="13322" min="13322" style="544" width="3.12"/>
    <col collapsed="false" customWidth="true" hidden="true" outlineLevel="0" max="13323" min="13323" style="544" width="11.12"/>
    <col collapsed="false" customWidth="true" hidden="true" outlineLevel="0" max="13324" min="13324" style="544" width="10.12"/>
    <col collapsed="false" customWidth="true" hidden="true" outlineLevel="0" max="13325" min="13325" style="544" width="8.62"/>
    <col collapsed="false" customWidth="true" hidden="true" outlineLevel="0" max="13326" min="13326" style="544" width="10.12"/>
    <col collapsed="false" customWidth="false" hidden="true" outlineLevel="0" max="13563" min="13327" style="544" width="8"/>
    <col collapsed="false" customWidth="true" hidden="true" outlineLevel="0" max="13568" min="13564" style="544" width="9.12"/>
    <col collapsed="false" customWidth="true" hidden="true" outlineLevel="0" max="13570" min="13569" style="544" width="10.49"/>
    <col collapsed="false" customWidth="true" hidden="true" outlineLevel="0" max="13574" min="13571" style="544" width="9.12"/>
    <col collapsed="false" customWidth="true" hidden="true" outlineLevel="0" max="13575" min="13575" style="544" width="10.49"/>
    <col collapsed="false" customWidth="true" hidden="true" outlineLevel="0" max="13576" min="13576" style="544" width="24.62"/>
    <col collapsed="false" customWidth="false" hidden="true" outlineLevel="0" max="13577" min="13577" style="544" width="8"/>
    <col collapsed="false" customWidth="true" hidden="true" outlineLevel="0" max="13578" min="13578" style="544" width="3.12"/>
    <col collapsed="false" customWidth="true" hidden="true" outlineLevel="0" max="13579" min="13579" style="544" width="11.12"/>
    <col collapsed="false" customWidth="true" hidden="true" outlineLevel="0" max="13580" min="13580" style="544" width="10.12"/>
    <col collapsed="false" customWidth="true" hidden="true" outlineLevel="0" max="13581" min="13581" style="544" width="8.62"/>
    <col collapsed="false" customWidth="true" hidden="true" outlineLevel="0" max="13582" min="13582" style="544" width="10.12"/>
    <col collapsed="false" customWidth="false" hidden="true" outlineLevel="0" max="13819" min="13583" style="544" width="8"/>
    <col collapsed="false" customWidth="true" hidden="true" outlineLevel="0" max="13824" min="13820" style="544" width="9.12"/>
    <col collapsed="false" customWidth="true" hidden="true" outlineLevel="0" max="13826" min="13825" style="544" width="10.49"/>
    <col collapsed="false" customWidth="true" hidden="true" outlineLevel="0" max="13830" min="13827" style="544" width="9.12"/>
    <col collapsed="false" customWidth="true" hidden="true" outlineLevel="0" max="13831" min="13831" style="544" width="10.49"/>
    <col collapsed="false" customWidth="true" hidden="true" outlineLevel="0" max="13832" min="13832" style="544" width="24.62"/>
    <col collapsed="false" customWidth="false" hidden="true" outlineLevel="0" max="13833" min="13833" style="544" width="8"/>
    <col collapsed="false" customWidth="true" hidden="true" outlineLevel="0" max="13834" min="13834" style="544" width="3.12"/>
    <col collapsed="false" customWidth="true" hidden="true" outlineLevel="0" max="13835" min="13835" style="544" width="11.12"/>
    <col collapsed="false" customWidth="true" hidden="true" outlineLevel="0" max="13836" min="13836" style="544" width="10.12"/>
    <col collapsed="false" customWidth="true" hidden="true" outlineLevel="0" max="13837" min="13837" style="544" width="8.62"/>
    <col collapsed="false" customWidth="true" hidden="true" outlineLevel="0" max="13838" min="13838" style="544" width="10.12"/>
    <col collapsed="false" customWidth="false" hidden="true" outlineLevel="0" max="14075" min="13839" style="544" width="8"/>
    <col collapsed="false" customWidth="true" hidden="true" outlineLevel="0" max="14080" min="14076" style="544" width="9.12"/>
    <col collapsed="false" customWidth="true" hidden="true" outlineLevel="0" max="14082" min="14081" style="544" width="10.49"/>
    <col collapsed="false" customWidth="true" hidden="true" outlineLevel="0" max="14086" min="14083" style="544" width="9.12"/>
    <col collapsed="false" customWidth="true" hidden="true" outlineLevel="0" max="14087" min="14087" style="544" width="10.49"/>
    <col collapsed="false" customWidth="true" hidden="true" outlineLevel="0" max="14088" min="14088" style="544" width="24.62"/>
    <col collapsed="false" customWidth="false" hidden="true" outlineLevel="0" max="14089" min="14089" style="544" width="8"/>
    <col collapsed="false" customWidth="true" hidden="true" outlineLevel="0" max="14090" min="14090" style="544" width="3.12"/>
    <col collapsed="false" customWidth="true" hidden="true" outlineLevel="0" max="14091" min="14091" style="544" width="11.12"/>
    <col collapsed="false" customWidth="true" hidden="true" outlineLevel="0" max="14092" min="14092" style="544" width="10.12"/>
    <col collapsed="false" customWidth="true" hidden="true" outlineLevel="0" max="14093" min="14093" style="544" width="8.62"/>
    <col collapsed="false" customWidth="true" hidden="true" outlineLevel="0" max="14094" min="14094" style="544" width="10.12"/>
    <col collapsed="false" customWidth="false" hidden="true" outlineLevel="0" max="14331" min="14095" style="544" width="8"/>
    <col collapsed="false" customWidth="true" hidden="true" outlineLevel="0" max="14336" min="14332" style="544" width="9.12"/>
    <col collapsed="false" customWidth="true" hidden="true" outlineLevel="0" max="14338" min="14337" style="544" width="10.49"/>
    <col collapsed="false" customWidth="true" hidden="true" outlineLevel="0" max="14342" min="14339" style="544" width="9.12"/>
    <col collapsed="false" customWidth="true" hidden="true" outlineLevel="0" max="14343" min="14343" style="544" width="10.49"/>
    <col collapsed="false" customWidth="true" hidden="true" outlineLevel="0" max="14344" min="14344" style="544" width="24.62"/>
    <col collapsed="false" customWidth="false" hidden="true" outlineLevel="0" max="14345" min="14345" style="544" width="8"/>
    <col collapsed="false" customWidth="true" hidden="true" outlineLevel="0" max="14346" min="14346" style="544" width="3.12"/>
    <col collapsed="false" customWidth="true" hidden="true" outlineLevel="0" max="14347" min="14347" style="544" width="11.12"/>
    <col collapsed="false" customWidth="true" hidden="true" outlineLevel="0" max="14348" min="14348" style="544" width="10.12"/>
    <col collapsed="false" customWidth="true" hidden="true" outlineLevel="0" max="14349" min="14349" style="544" width="8.62"/>
    <col collapsed="false" customWidth="true" hidden="true" outlineLevel="0" max="14350" min="14350" style="544" width="10.12"/>
    <col collapsed="false" customWidth="false" hidden="true" outlineLevel="0" max="14587" min="14351" style="544" width="8"/>
    <col collapsed="false" customWidth="true" hidden="true" outlineLevel="0" max="14592" min="14588" style="544" width="9.12"/>
    <col collapsed="false" customWidth="true" hidden="true" outlineLevel="0" max="14594" min="14593" style="544" width="10.49"/>
    <col collapsed="false" customWidth="true" hidden="true" outlineLevel="0" max="14598" min="14595" style="544" width="9.12"/>
    <col collapsed="false" customWidth="true" hidden="true" outlineLevel="0" max="14599" min="14599" style="544" width="10.49"/>
    <col collapsed="false" customWidth="true" hidden="true" outlineLevel="0" max="14600" min="14600" style="544" width="24.62"/>
    <col collapsed="false" customWidth="false" hidden="true" outlineLevel="0" max="14601" min="14601" style="544" width="8"/>
    <col collapsed="false" customWidth="true" hidden="true" outlineLevel="0" max="14602" min="14602" style="544" width="3.12"/>
    <col collapsed="false" customWidth="true" hidden="true" outlineLevel="0" max="14603" min="14603" style="544" width="11.12"/>
    <col collapsed="false" customWidth="true" hidden="true" outlineLevel="0" max="14604" min="14604" style="544" width="10.12"/>
    <col collapsed="false" customWidth="true" hidden="true" outlineLevel="0" max="14605" min="14605" style="544" width="8.62"/>
    <col collapsed="false" customWidth="true" hidden="true" outlineLevel="0" max="14606" min="14606" style="544" width="10.12"/>
    <col collapsed="false" customWidth="false" hidden="true" outlineLevel="0" max="14843" min="14607" style="544" width="8"/>
    <col collapsed="false" customWidth="true" hidden="true" outlineLevel="0" max="14848" min="14844" style="544" width="9.12"/>
    <col collapsed="false" customWidth="true" hidden="true" outlineLevel="0" max="14850" min="14849" style="544" width="10.49"/>
    <col collapsed="false" customWidth="true" hidden="true" outlineLevel="0" max="14854" min="14851" style="544" width="9.12"/>
    <col collapsed="false" customWidth="true" hidden="true" outlineLevel="0" max="14855" min="14855" style="544" width="10.49"/>
    <col collapsed="false" customWidth="true" hidden="true" outlineLevel="0" max="14856" min="14856" style="544" width="24.62"/>
    <col collapsed="false" customWidth="false" hidden="true" outlineLevel="0" max="14857" min="14857" style="544" width="8"/>
    <col collapsed="false" customWidth="true" hidden="true" outlineLevel="0" max="14858" min="14858" style="544" width="3.12"/>
    <col collapsed="false" customWidth="true" hidden="true" outlineLevel="0" max="14859" min="14859" style="544" width="11.12"/>
    <col collapsed="false" customWidth="true" hidden="true" outlineLevel="0" max="14860" min="14860" style="544" width="10.12"/>
    <col collapsed="false" customWidth="true" hidden="true" outlineLevel="0" max="14861" min="14861" style="544" width="8.62"/>
    <col collapsed="false" customWidth="true" hidden="true" outlineLevel="0" max="14862" min="14862" style="544" width="10.12"/>
    <col collapsed="false" customWidth="false" hidden="true" outlineLevel="0" max="15099" min="14863" style="544" width="8"/>
    <col collapsed="false" customWidth="true" hidden="true" outlineLevel="0" max="15104" min="15100" style="544" width="9.12"/>
    <col collapsed="false" customWidth="true" hidden="true" outlineLevel="0" max="15106" min="15105" style="544" width="10.49"/>
    <col collapsed="false" customWidth="true" hidden="true" outlineLevel="0" max="15110" min="15107" style="544" width="9.12"/>
    <col collapsed="false" customWidth="true" hidden="true" outlineLevel="0" max="15111" min="15111" style="544" width="10.49"/>
    <col collapsed="false" customWidth="true" hidden="true" outlineLevel="0" max="15112" min="15112" style="544" width="24.62"/>
    <col collapsed="false" customWidth="false" hidden="true" outlineLevel="0" max="15113" min="15113" style="544" width="8"/>
    <col collapsed="false" customWidth="true" hidden="true" outlineLevel="0" max="15114" min="15114" style="544" width="3.12"/>
    <col collapsed="false" customWidth="true" hidden="true" outlineLevel="0" max="15115" min="15115" style="544" width="11.12"/>
    <col collapsed="false" customWidth="true" hidden="true" outlineLevel="0" max="15116" min="15116" style="544" width="10.12"/>
    <col collapsed="false" customWidth="true" hidden="true" outlineLevel="0" max="15117" min="15117" style="544" width="8.62"/>
    <col collapsed="false" customWidth="true" hidden="true" outlineLevel="0" max="15118" min="15118" style="544" width="10.12"/>
    <col collapsed="false" customWidth="false" hidden="true" outlineLevel="0" max="15355" min="15119" style="544" width="8"/>
    <col collapsed="false" customWidth="true" hidden="true" outlineLevel="0" max="15360" min="15356" style="544" width="9.12"/>
    <col collapsed="false" customWidth="true" hidden="true" outlineLevel="0" max="15362" min="15361" style="544" width="10.49"/>
    <col collapsed="false" customWidth="true" hidden="true" outlineLevel="0" max="15366" min="15363" style="544" width="9.12"/>
    <col collapsed="false" customWidth="true" hidden="true" outlineLevel="0" max="15367" min="15367" style="544" width="10.49"/>
    <col collapsed="false" customWidth="true" hidden="true" outlineLevel="0" max="15368" min="15368" style="544" width="24.62"/>
    <col collapsed="false" customWidth="false" hidden="true" outlineLevel="0" max="15369" min="15369" style="544" width="8"/>
    <col collapsed="false" customWidth="true" hidden="true" outlineLevel="0" max="15370" min="15370" style="544" width="3.12"/>
    <col collapsed="false" customWidth="true" hidden="true" outlineLevel="0" max="15371" min="15371" style="544" width="11.12"/>
    <col collapsed="false" customWidth="true" hidden="true" outlineLevel="0" max="15372" min="15372" style="544" width="10.12"/>
    <col collapsed="false" customWidth="true" hidden="true" outlineLevel="0" max="15373" min="15373" style="544" width="8.62"/>
    <col collapsed="false" customWidth="true" hidden="true" outlineLevel="0" max="15374" min="15374" style="544" width="10.12"/>
    <col collapsed="false" customWidth="false" hidden="true" outlineLevel="0" max="15611" min="15375" style="544" width="8"/>
    <col collapsed="false" customWidth="true" hidden="true" outlineLevel="0" max="15616" min="15612" style="544" width="9.12"/>
    <col collapsed="false" customWidth="true" hidden="true" outlineLevel="0" max="15618" min="15617" style="544" width="10.49"/>
    <col collapsed="false" customWidth="true" hidden="true" outlineLevel="0" max="15622" min="15619" style="544" width="9.12"/>
    <col collapsed="false" customWidth="true" hidden="true" outlineLevel="0" max="15623" min="15623" style="544" width="10.49"/>
    <col collapsed="false" customWidth="true" hidden="true" outlineLevel="0" max="15624" min="15624" style="544" width="24.62"/>
    <col collapsed="false" customWidth="false" hidden="true" outlineLevel="0" max="15625" min="15625" style="544" width="8"/>
    <col collapsed="false" customWidth="true" hidden="true" outlineLevel="0" max="15626" min="15626" style="544" width="3.12"/>
    <col collapsed="false" customWidth="true" hidden="true" outlineLevel="0" max="15627" min="15627" style="544" width="11.12"/>
    <col collapsed="false" customWidth="true" hidden="true" outlineLevel="0" max="15628" min="15628" style="544" width="10.12"/>
    <col collapsed="false" customWidth="true" hidden="true" outlineLevel="0" max="15629" min="15629" style="544" width="8.62"/>
    <col collapsed="false" customWidth="true" hidden="true" outlineLevel="0" max="15630" min="15630" style="544" width="10.12"/>
    <col collapsed="false" customWidth="false" hidden="true" outlineLevel="0" max="15867" min="15631" style="544" width="8"/>
    <col collapsed="false" customWidth="true" hidden="true" outlineLevel="0" max="15872" min="15868" style="544" width="9.12"/>
    <col collapsed="false" customWidth="true" hidden="true" outlineLevel="0" max="15874" min="15873" style="544" width="10.49"/>
    <col collapsed="false" customWidth="true" hidden="true" outlineLevel="0" max="15878" min="15875" style="544" width="9.12"/>
    <col collapsed="false" customWidth="true" hidden="true" outlineLevel="0" max="15879" min="15879" style="544" width="10.49"/>
    <col collapsed="false" customWidth="true" hidden="true" outlineLevel="0" max="15880" min="15880" style="544" width="24.62"/>
    <col collapsed="false" customWidth="false" hidden="true" outlineLevel="0" max="15881" min="15881" style="544" width="8"/>
    <col collapsed="false" customWidth="true" hidden="true" outlineLevel="0" max="15882" min="15882" style="544" width="3.12"/>
    <col collapsed="false" customWidth="true" hidden="true" outlineLevel="0" max="15883" min="15883" style="544" width="11.12"/>
    <col collapsed="false" customWidth="true" hidden="true" outlineLevel="0" max="15884" min="15884" style="544" width="10.12"/>
    <col collapsed="false" customWidth="true" hidden="true" outlineLevel="0" max="15885" min="15885" style="544" width="8.62"/>
    <col collapsed="false" customWidth="true" hidden="true" outlineLevel="0" max="15886" min="15886" style="544" width="10.12"/>
    <col collapsed="false" customWidth="false" hidden="true" outlineLevel="0" max="16123" min="15887" style="544" width="8"/>
    <col collapsed="false" customWidth="true" hidden="true" outlineLevel="0" max="16128" min="16124" style="544" width="9.12"/>
    <col collapsed="false" customWidth="true" hidden="true" outlineLevel="0" max="16130" min="16129" style="544" width="10.49"/>
    <col collapsed="false" customWidth="true" hidden="true" outlineLevel="0" max="16134" min="16131" style="544" width="9.12"/>
    <col collapsed="false" customWidth="true" hidden="true" outlineLevel="0" max="16135" min="16135" style="544" width="10.49"/>
    <col collapsed="false" customWidth="true" hidden="true" outlineLevel="0" max="16136" min="16136" style="544" width="24.62"/>
    <col collapsed="false" customWidth="false" hidden="true" outlineLevel="0" max="16137" min="16137" style="544" width="8"/>
    <col collapsed="false" customWidth="true" hidden="true" outlineLevel="0" max="16138" min="16138" style="544" width="3.12"/>
    <col collapsed="false" customWidth="true" hidden="true" outlineLevel="0" max="16139" min="16139" style="544" width="11.12"/>
    <col collapsed="false" customWidth="true" hidden="true" outlineLevel="0" max="16140" min="16140" style="544" width="10.12"/>
    <col collapsed="false" customWidth="true" hidden="true" outlineLevel="0" max="16141" min="16141" style="544" width="8.62"/>
    <col collapsed="false" customWidth="true" hidden="true" outlineLevel="0" max="16142" min="16142" style="544" width="10.12"/>
    <col collapsed="false" customWidth="false" hidden="true" outlineLevel="0" max="16384" min="16143" style="544" width="8"/>
  </cols>
  <sheetData>
    <row r="1" customFormat="false" ht="15.75" hidden="false" customHeight="true" outlineLevel="0" collapsed="false">
      <c r="K1" s="545" t="s">
        <v>204</v>
      </c>
      <c r="L1" s="545"/>
      <c r="M1" s="545"/>
      <c r="N1" s="545"/>
      <c r="O1" s="545"/>
      <c r="P1" s="545"/>
      <c r="Q1" s="545"/>
      <c r="R1" s="545"/>
      <c r="S1" s="545"/>
      <c r="T1" s="545"/>
      <c r="U1" s="545"/>
      <c r="V1" s="545"/>
    </row>
    <row r="2" customFormat="false" ht="15.75" hidden="false" customHeight="true" outlineLevel="0" collapsed="false">
      <c r="A2" s="546" t="s">
        <v>205</v>
      </c>
      <c r="B2" s="546"/>
      <c r="C2" s="546"/>
      <c r="D2" s="547" t="s">
        <v>102</v>
      </c>
      <c r="E2" s="548" t="s">
        <v>206</v>
      </c>
      <c r="H2" s="549" t="str">
        <f aca="false">CHOOSE(WEEKDAY(H4),"Zondag","Maandag","Dinsdag","Woensdag","Donderdag","Vrijdag","Zaterdag")</f>
        <v>Woensdag</v>
      </c>
      <c r="K2" s="550" t="s">
        <v>11</v>
      </c>
      <c r="L2" s="550"/>
      <c r="M2" s="550"/>
      <c r="N2" s="551" t="s">
        <v>12</v>
      </c>
      <c r="O2" s="551" t="s">
        <v>207</v>
      </c>
      <c r="P2" s="552" t="s">
        <v>13</v>
      </c>
      <c r="Q2" s="553" t="s">
        <v>11</v>
      </c>
      <c r="R2" s="553"/>
      <c r="S2" s="551" t="s">
        <v>12</v>
      </c>
      <c r="T2" s="551" t="s">
        <v>207</v>
      </c>
      <c r="U2" s="552" t="s">
        <v>13</v>
      </c>
      <c r="V2" s="552"/>
      <c r="X2" s="554"/>
      <c r="Y2" s="554"/>
      <c r="Z2" s="554"/>
      <c r="AA2" s="554"/>
      <c r="AB2" s="554"/>
      <c r="AC2" s="554"/>
      <c r="AD2" s="554"/>
    </row>
    <row r="3" customFormat="false" ht="14.25" hidden="false" customHeight="true" outlineLevel="0" collapsed="false">
      <c r="A3" s="546"/>
      <c r="B3" s="546"/>
      <c r="C3" s="546"/>
      <c r="D3" s="547"/>
      <c r="E3" s="548"/>
      <c r="H3" s="549"/>
      <c r="K3" s="550" t="s">
        <v>208</v>
      </c>
      <c r="L3" s="550"/>
      <c r="M3" s="550"/>
      <c r="N3" s="555" t="s">
        <v>16</v>
      </c>
      <c r="O3" s="556" t="n">
        <f aca="false">'Recept-voorblad'!F12</f>
        <v>0</v>
      </c>
      <c r="P3" s="557" t="n">
        <f aca="false">'Recept-voorblad'!E12</f>
        <v>0</v>
      </c>
      <c r="Q3" s="558" t="s">
        <v>43</v>
      </c>
      <c r="R3" s="559"/>
      <c r="S3" s="551" t="s">
        <v>36</v>
      </c>
      <c r="T3" s="556" t="n">
        <f aca="false">'Recept-voorblad'!M23</f>
        <v>0</v>
      </c>
      <c r="U3" s="560"/>
      <c r="V3" s="557"/>
      <c r="X3" s="561" t="str">
        <f aca="false">IF(COUNTIF('Recept-voorblad'!G58:I63,"warm")&gt;0,IF(SUMIF('Recept-voorblad'!G58:P63,"warm",'Recept-voorblad'!P58:P63)= "&gt;65000","Dry hop methode= "&amp;"warm hopsteiner","Dry hop methode= "&amp;"warm hopgun"),"")</f>
        <v/>
      </c>
      <c r="Y3" s="561"/>
      <c r="Z3" s="561"/>
      <c r="AA3" s="561"/>
      <c r="AB3" s="561"/>
      <c r="AC3" s="561"/>
      <c r="AD3" s="561"/>
    </row>
    <row r="4" customFormat="false" ht="14.25" hidden="false" customHeight="true" outlineLevel="0" collapsed="false">
      <c r="A4" s="562" t="n">
        <f aca="false">'Recept-voorblad'!C3</f>
        <v>0</v>
      </c>
      <c r="B4" s="562"/>
      <c r="C4" s="562"/>
      <c r="D4" s="563" t="n">
        <f aca="false">Brouwen!I5</f>
        <v>0</v>
      </c>
      <c r="E4" s="564"/>
      <c r="H4" s="565" t="n">
        <f aca="true">TODAY()</f>
        <v>46232</v>
      </c>
      <c r="K4" s="566" t="str">
        <f aca="false">'Recept-voorblad'!A23</f>
        <v>T release,</v>
      </c>
      <c r="L4" s="566"/>
      <c r="M4" s="566"/>
      <c r="N4" s="567" t="s">
        <v>36</v>
      </c>
      <c r="O4" s="568" t="n">
        <f aca="false">'Recept-voorblad'!F23</f>
        <v>0</v>
      </c>
      <c r="P4" s="569" t="n">
        <f aca="false">'Recept-voorblad'!E23</f>
        <v>0</v>
      </c>
      <c r="Q4" s="570" t="s">
        <v>209</v>
      </c>
      <c r="R4" s="571"/>
      <c r="S4" s="572" t="s">
        <v>210</v>
      </c>
      <c r="T4" s="573" t="n">
        <f aca="false">'Recept-voorblad'!M22</f>
        <v>0</v>
      </c>
      <c r="U4" s="574"/>
      <c r="V4" s="575"/>
      <c r="X4" s="576" t="str">
        <f aca="false">ROUND(SUMIF('Recept-voorblad'!G55:P60,"warm",'Recept-voorblad'!P55:P60)/1000,1)&amp;"  kilogram dry hop"</f>
        <v>0  kilogram dry hop</v>
      </c>
      <c r="Y4" s="576"/>
      <c r="Z4" s="576"/>
      <c r="AA4" s="576"/>
      <c r="AB4" s="576"/>
      <c r="AC4" s="576"/>
      <c r="AD4" s="576"/>
    </row>
    <row r="5" customFormat="false" ht="14.25" hidden="false" customHeight="true" outlineLevel="0" collapsed="false">
      <c r="A5" s="562"/>
      <c r="B5" s="562"/>
      <c r="C5" s="562"/>
      <c r="D5" s="563"/>
      <c r="E5" s="564"/>
      <c r="H5" s="565"/>
      <c r="K5" s="566" t="s">
        <v>211</v>
      </c>
      <c r="L5" s="566"/>
      <c r="M5" s="566"/>
      <c r="N5" s="567" t="s">
        <v>36</v>
      </c>
      <c r="O5" s="568" t="n">
        <f aca="false">'Recept-voorblad'!F24</f>
        <v>0</v>
      </c>
      <c r="P5" s="569" t="n">
        <f aca="false">'Recept-voorblad'!E24</f>
        <v>0</v>
      </c>
      <c r="Q5" s="570" t="s">
        <v>19</v>
      </c>
      <c r="R5" s="571"/>
      <c r="S5" s="572" t="s">
        <v>16</v>
      </c>
      <c r="T5" s="568" t="n">
        <f aca="false">'Recept-voorblad'!F13</f>
        <v>0</v>
      </c>
      <c r="U5" s="577" t="n">
        <f aca="false">'Recept-voorblad'!E13</f>
        <v>0</v>
      </c>
      <c r="V5" s="575"/>
      <c r="X5" s="576"/>
      <c r="Y5" s="576"/>
      <c r="Z5" s="576"/>
      <c r="AA5" s="576"/>
      <c r="AB5" s="576"/>
      <c r="AC5" s="576"/>
      <c r="AD5" s="576"/>
    </row>
    <row r="6" customFormat="false" ht="14.25" hidden="false" customHeight="true" outlineLevel="0" collapsed="false">
      <c r="A6" s="578"/>
      <c r="B6" s="578"/>
      <c r="C6" s="578"/>
      <c r="D6" s="579"/>
      <c r="E6" s="579"/>
      <c r="K6" s="566" t="s">
        <v>212</v>
      </c>
      <c r="L6" s="566"/>
      <c r="M6" s="566"/>
      <c r="N6" s="567" t="s">
        <v>16</v>
      </c>
      <c r="O6" s="568" t="n">
        <f aca="false">'Recept-voorblad'!F25</f>
        <v>0</v>
      </c>
      <c r="P6" s="569" t="n">
        <f aca="false">'Recept-voorblad'!E25</f>
        <v>0</v>
      </c>
      <c r="Q6" s="570" t="s">
        <v>213</v>
      </c>
      <c r="R6" s="571"/>
      <c r="S6" s="572"/>
      <c r="T6" s="568" t="n">
        <f aca="false">'Recept-voorblad'!F17</f>
        <v>0</v>
      </c>
      <c r="U6" s="577" t="n">
        <f aca="false">'Recept-voorblad'!E17</f>
        <v>0</v>
      </c>
      <c r="V6" s="575"/>
      <c r="X6" s="561" t="str">
        <f aca="false">IF(COUNTIF('Recept-voorblad'!G58:I63," @16C")&gt;0,IF(SUMIF('Recept-voorblad'!G58:P63," @16C",'Recept-voorblad'!P58:P63)= "&gt;65000","Dry hop methode= "&amp;"@16C hopsteiner","Dry hop methode= "&amp;" @16C hopgun"),"")</f>
        <v/>
      </c>
      <c r="Y6" s="561"/>
      <c r="Z6" s="561"/>
      <c r="AA6" s="561"/>
      <c r="AB6" s="561"/>
      <c r="AC6" s="561"/>
      <c r="AD6" s="561"/>
    </row>
    <row r="7" customFormat="false" ht="14.25" hidden="false" customHeight="true" outlineLevel="0" collapsed="false">
      <c r="A7" s="580"/>
      <c r="B7" s="580"/>
      <c r="C7" s="580"/>
      <c r="D7" s="581"/>
      <c r="E7" s="581"/>
      <c r="K7" s="566" t="s">
        <v>214</v>
      </c>
      <c r="L7" s="566"/>
      <c r="M7" s="566"/>
      <c r="N7" s="567" t="s">
        <v>16</v>
      </c>
      <c r="O7" s="568" t="n">
        <f aca="false">'Recept-voorblad'!F26</f>
        <v>0</v>
      </c>
      <c r="P7" s="575" t="n">
        <f aca="false">'Recept-voorblad'!E26</f>
        <v>0</v>
      </c>
      <c r="Q7" s="582" t="s">
        <v>22</v>
      </c>
      <c r="R7" s="583"/>
      <c r="S7" s="584" t="s">
        <v>215</v>
      </c>
      <c r="T7" s="585" t="n">
        <f aca="false">'Recept-voorblad'!F14</f>
        <v>0</v>
      </c>
      <c r="U7" s="586" t="n">
        <f aca="false">'Recept-voorblad'!E14</f>
        <v>0</v>
      </c>
      <c r="V7" s="587"/>
      <c r="X7" s="576" t="str">
        <f aca="false">ROUND(SUMIF('Recept-voorblad'!G58:P63," @16C",'Recept-voorblad'!P58:P63)/1000,1)&amp;"  kilogram dry hop"</f>
        <v>0  kilogram dry hop</v>
      </c>
      <c r="Y7" s="576"/>
      <c r="Z7" s="576"/>
      <c r="AA7" s="576"/>
      <c r="AB7" s="576"/>
      <c r="AC7" s="576"/>
      <c r="AD7" s="576"/>
    </row>
    <row r="8" customFormat="false" ht="14.25" hidden="false" customHeight="true" outlineLevel="0" collapsed="false">
      <c r="A8" s="588"/>
      <c r="B8" s="253" t="s">
        <v>31</v>
      </c>
      <c r="C8" s="253"/>
      <c r="D8" s="253" t="s">
        <v>39</v>
      </c>
      <c r="E8" s="253"/>
      <c r="K8" s="566" t="s">
        <v>216</v>
      </c>
      <c r="L8" s="566"/>
      <c r="M8" s="566"/>
      <c r="N8" s="567" t="s">
        <v>16</v>
      </c>
      <c r="O8" s="568" t="n">
        <f aca="false">'Recept-voorblad'!F27</f>
        <v>0</v>
      </c>
      <c r="P8" s="575" t="n">
        <f aca="false">'Recept-voorblad'!E27</f>
        <v>0</v>
      </c>
      <c r="Q8" s="589" t="s">
        <v>217</v>
      </c>
      <c r="R8" s="589"/>
      <c r="S8" s="589"/>
      <c r="T8" s="589"/>
      <c r="U8" s="589"/>
      <c r="V8" s="589"/>
      <c r="X8" s="576"/>
      <c r="Y8" s="576"/>
      <c r="Z8" s="576"/>
      <c r="AA8" s="576"/>
      <c r="AB8" s="576"/>
      <c r="AC8" s="576"/>
      <c r="AD8" s="576"/>
    </row>
    <row r="9" customFormat="false" ht="14.25" hidden="false" customHeight="true" outlineLevel="0" collapsed="false">
      <c r="A9" s="588"/>
      <c r="B9" s="590" t="n">
        <f aca="false">'Recept-voorblad'!N17</f>
        <v>0</v>
      </c>
      <c r="C9" s="590"/>
      <c r="D9" s="590" t="n">
        <f aca="false">'Recept-voorblad'!N23</f>
        <v>0</v>
      </c>
      <c r="E9" s="590"/>
      <c r="K9" s="566" t="s">
        <v>218</v>
      </c>
      <c r="L9" s="566"/>
      <c r="M9" s="566"/>
      <c r="N9" s="567" t="s">
        <v>210</v>
      </c>
      <c r="O9" s="573" t="n">
        <f aca="false">'Recept-voorblad'!M21</f>
        <v>0</v>
      </c>
      <c r="P9" s="575"/>
      <c r="Q9" s="571" t="s">
        <v>219</v>
      </c>
      <c r="R9" s="571"/>
      <c r="S9" s="572" t="s">
        <v>220</v>
      </c>
      <c r="T9" s="568" t="str">
        <f aca="false" t="array" ref="T9:T9">IF(B13="","",(($B$13-(INDEX($B$13:$B$31,COUNTA($B$13:$B$31))))/$B$13)*100)</f>
        <v/>
      </c>
      <c r="U9" s="591"/>
      <c r="V9" s="591"/>
      <c r="X9" s="561" t="s">
        <v>221</v>
      </c>
      <c r="Y9" s="561"/>
      <c r="Z9" s="561"/>
      <c r="AA9" s="561"/>
      <c r="AB9" s="561"/>
      <c r="AC9" s="561"/>
      <c r="AD9" s="561"/>
    </row>
    <row r="10" customFormat="false" ht="14.25" hidden="false" customHeight="true" outlineLevel="0" collapsed="false">
      <c r="A10" s="588"/>
      <c r="B10" s="590"/>
      <c r="C10" s="590"/>
      <c r="D10" s="590"/>
      <c r="E10" s="590"/>
      <c r="K10" s="592"/>
      <c r="L10" s="592"/>
      <c r="M10" s="592"/>
      <c r="N10" s="593"/>
      <c r="O10" s="585"/>
      <c r="P10" s="587"/>
      <c r="Q10" s="594" t="s">
        <v>222</v>
      </c>
      <c r="R10" s="583"/>
      <c r="S10" s="584" t="s">
        <v>215</v>
      </c>
      <c r="T10" s="568" t="str">
        <f aca="false" t="array" ref="T10:T10">IF(B13="","",($B$13-(INDEX($B$13:$B$31,COUNTA($B$13:$B$31))))*0.533)</f>
        <v/>
      </c>
      <c r="U10" s="595"/>
      <c r="V10" s="596"/>
      <c r="X10" s="554"/>
      <c r="Y10" s="554"/>
      <c r="Z10" s="554"/>
      <c r="AA10" s="554"/>
      <c r="AB10" s="554"/>
      <c r="AC10" s="554"/>
      <c r="AD10" s="554"/>
    </row>
    <row r="11" customFormat="false" ht="13.5" hidden="false" customHeight="true" outlineLevel="0" collapsed="false">
      <c r="X11" s="554"/>
      <c r="Y11" s="554"/>
      <c r="Z11" s="554"/>
      <c r="AA11" s="554"/>
      <c r="AB11" s="554"/>
      <c r="AC11" s="554"/>
      <c r="AD11" s="554"/>
    </row>
    <row r="12" customFormat="false" ht="19.5" hidden="false" customHeight="true" outlineLevel="0" collapsed="false">
      <c r="A12" s="597" t="s">
        <v>223</v>
      </c>
      <c r="B12" s="598" t="s">
        <v>224</v>
      </c>
      <c r="C12" s="599" t="s">
        <v>225</v>
      </c>
      <c r="D12" s="599" t="s">
        <v>226</v>
      </c>
      <c r="E12" s="600" t="s">
        <v>32</v>
      </c>
      <c r="F12" s="601" t="s">
        <v>227</v>
      </c>
      <c r="G12" s="602" t="s">
        <v>228</v>
      </c>
      <c r="H12" s="603" t="s">
        <v>229</v>
      </c>
      <c r="I12" s="604" t="s">
        <v>230</v>
      </c>
      <c r="J12" s="598" t="s">
        <v>94</v>
      </c>
      <c r="K12" s="599" t="s">
        <v>231</v>
      </c>
      <c r="L12" s="599" t="s">
        <v>232</v>
      </c>
      <c r="M12" s="599"/>
      <c r="N12" s="599"/>
      <c r="O12" s="599" t="s">
        <v>233</v>
      </c>
      <c r="P12" s="599"/>
      <c r="Q12" s="599"/>
      <c r="R12" s="599"/>
      <c r="S12" s="599"/>
      <c r="T12" s="599"/>
      <c r="U12" s="599" t="s">
        <v>234</v>
      </c>
      <c r="V12" s="599"/>
      <c r="X12" s="554"/>
      <c r="Y12" s="554"/>
      <c r="Z12" s="554"/>
      <c r="AA12" s="554"/>
      <c r="AB12" s="554"/>
      <c r="AC12" s="554"/>
      <c r="AD12" s="554"/>
    </row>
    <row r="13" customFormat="false" ht="13.5" hidden="false" customHeight="true" outlineLevel="0" collapsed="false">
      <c r="A13" s="605" t="n">
        <f aca="false">+J13-$J$13+K13/24-$K$13/24</f>
        <v>0</v>
      </c>
      <c r="B13" s="606" t="str">
        <f aca="false">IF(Brouwen!AG41="",IF(Brouwen!AE41="",IF(Brouwen!AC41="",IF(Brouwen!AA41="",IF(Brouwen!Y41="",IF(Brouwen!W41="",IF(Brouwen!U41="",Brouwen!S41,Brouwen!U41),Brouwen!W41),Brouwen!Y41),Brouwen!AA41),Brouwen!AC41),Brouwen!AE41),Brouwen!AG41)</f>
        <v/>
      </c>
      <c r="C13" s="607"/>
      <c r="D13" s="607"/>
      <c r="E13" s="608" t="str">
        <f aca="false">IF(Brouwen!S35="","",AVERAGE(Brouwen!S35,Brouwen!U35,Brouwen!W35,Brouwen!Y35,Brouwen!AA35,Brouwen!AC35,Brouwen!AE35,Brouwen!AG35,Brouwen!AI35))</f>
        <v/>
      </c>
      <c r="F13" s="609"/>
      <c r="G13" s="610"/>
      <c r="H13" s="603"/>
      <c r="I13" s="604"/>
      <c r="J13" s="611" t="n">
        <f aca="false">TRUNC(IF(Brouwen!AG6="",IF(Brouwen!AE6="",IF(Brouwen!AC6="",IF(Brouwen!AA6="",IF(Brouwen!Y6="",IF(Brouwen!W6="",IF(Brouwen!U6="",Brouwen!S6,Brouwen!U6),Brouwen!W6),Brouwen!Y6),Brouwen!AA6),Brouwen!AC6),Brouwen!AE6),Brouwen!AG6))</f>
        <v>0</v>
      </c>
      <c r="K13" s="612"/>
      <c r="L13" s="607"/>
      <c r="M13" s="607"/>
      <c r="N13" s="607"/>
      <c r="O13" s="607" t="s">
        <v>235</v>
      </c>
      <c r="P13" s="607"/>
      <c r="Q13" s="607"/>
      <c r="R13" s="607"/>
      <c r="S13" s="607"/>
      <c r="T13" s="607"/>
      <c r="U13" s="607"/>
      <c r="V13" s="607"/>
      <c r="X13" s="554"/>
      <c r="Y13" s="554"/>
      <c r="Z13" s="554"/>
      <c r="AA13" s="554"/>
      <c r="AB13" s="554"/>
      <c r="AC13" s="554"/>
      <c r="AD13" s="554"/>
    </row>
    <row r="14" customFormat="false" ht="12.75" hidden="false" customHeight="true" outlineLevel="0" collapsed="false">
      <c r="A14" s="613" t="n">
        <f aca="false">+J14-$J$13+K14/24-$K$13/24</f>
        <v>0</v>
      </c>
      <c r="B14" s="614"/>
      <c r="C14" s="615"/>
      <c r="D14" s="615"/>
      <c r="E14" s="616"/>
      <c r="F14" s="617"/>
      <c r="G14" s="618" t="str">
        <f aca="false">IF(K14="","",(B14-F14)/(H14+0.000001)*I14)</f>
        <v/>
      </c>
      <c r="H14" s="619" t="str">
        <f aca="false">IF(B14="","",(B13-B14))</f>
        <v/>
      </c>
      <c r="I14" s="620" t="str">
        <f aca="false">IF(K14="","",24*(A14-A13))</f>
        <v/>
      </c>
      <c r="J14" s="621"/>
      <c r="K14" s="622"/>
      <c r="L14" s="615"/>
      <c r="M14" s="615"/>
      <c r="N14" s="615"/>
      <c r="O14" s="615"/>
      <c r="P14" s="615"/>
      <c r="Q14" s="615"/>
      <c r="R14" s="615"/>
      <c r="S14" s="615"/>
      <c r="T14" s="615"/>
      <c r="U14" s="615"/>
      <c r="V14" s="615"/>
    </row>
    <row r="15" customFormat="false" ht="12.75" hidden="false" customHeight="true" outlineLevel="0" collapsed="false">
      <c r="A15" s="613" t="n">
        <f aca="false">+J15-$J$13+K15/24-$K$13/24</f>
        <v>0</v>
      </c>
      <c r="B15" s="614"/>
      <c r="C15" s="615"/>
      <c r="D15" s="615"/>
      <c r="E15" s="616"/>
      <c r="F15" s="623"/>
      <c r="G15" s="624" t="str">
        <f aca="false">IF(K15="","",(B15-F15)/(H15+0.000001)*I15)</f>
        <v/>
      </c>
      <c r="H15" s="625" t="str">
        <f aca="false">IF(B15="","",(B14-B15))</f>
        <v/>
      </c>
      <c r="I15" s="626" t="str">
        <f aca="false">IF(K15="","",24*(A15-A14))</f>
        <v/>
      </c>
      <c r="J15" s="621"/>
      <c r="K15" s="622"/>
      <c r="L15" s="615"/>
      <c r="M15" s="615"/>
      <c r="N15" s="615"/>
      <c r="O15" s="615"/>
      <c r="P15" s="615"/>
      <c r="Q15" s="615"/>
      <c r="R15" s="615"/>
      <c r="S15" s="615"/>
      <c r="T15" s="615"/>
      <c r="U15" s="615"/>
      <c r="V15" s="615"/>
    </row>
    <row r="16" customFormat="false" ht="14.25" hidden="false" customHeight="true" outlineLevel="0" collapsed="false">
      <c r="A16" s="613" t="n">
        <f aca="false">+J16-$J$13+K16/24-$K$13/24</f>
        <v>0</v>
      </c>
      <c r="B16" s="614"/>
      <c r="C16" s="615"/>
      <c r="D16" s="615"/>
      <c r="E16" s="616"/>
      <c r="F16" s="623"/>
      <c r="G16" s="624" t="str">
        <f aca="false">IF(K16="","",(B16-F16)/(H16+0.000001)*I16)</f>
        <v/>
      </c>
      <c r="H16" s="625" t="str">
        <f aca="false">IF(B16="","",(B15-B16))</f>
        <v/>
      </c>
      <c r="I16" s="626" t="str">
        <f aca="false">IF(K16="","",24*(A16-A15))</f>
        <v/>
      </c>
      <c r="J16" s="621"/>
      <c r="K16" s="622"/>
      <c r="L16" s="615"/>
      <c r="M16" s="615"/>
      <c r="N16" s="615"/>
      <c r="O16" s="615"/>
      <c r="P16" s="615"/>
      <c r="Q16" s="615"/>
      <c r="R16" s="615"/>
      <c r="S16" s="615"/>
      <c r="T16" s="615"/>
      <c r="U16" s="615"/>
      <c r="V16" s="615"/>
    </row>
    <row r="17" customFormat="false" ht="14.25" hidden="false" customHeight="true" outlineLevel="0" collapsed="false">
      <c r="A17" s="613" t="n">
        <f aca="false">+J17-$J$13+K17/24-$K$13/24</f>
        <v>0</v>
      </c>
      <c r="B17" s="614"/>
      <c r="C17" s="615"/>
      <c r="D17" s="615"/>
      <c r="E17" s="616"/>
      <c r="F17" s="623"/>
      <c r="G17" s="624" t="str">
        <f aca="false">IF(K17="","",(B17-F17)/(H17+0.000001)*I17)</f>
        <v/>
      </c>
      <c r="H17" s="625" t="str">
        <f aca="false">IF(B17="","",(B16-B17))</f>
        <v/>
      </c>
      <c r="I17" s="626" t="str">
        <f aca="false">IF(K17="","",24*(A17-A16))</f>
        <v/>
      </c>
      <c r="J17" s="621"/>
      <c r="K17" s="622"/>
      <c r="L17" s="615"/>
      <c r="M17" s="615"/>
      <c r="N17" s="615"/>
      <c r="O17" s="615"/>
      <c r="P17" s="615"/>
      <c r="Q17" s="615"/>
      <c r="R17" s="615"/>
      <c r="S17" s="615"/>
      <c r="T17" s="615"/>
      <c r="U17" s="615"/>
      <c r="V17" s="615"/>
    </row>
    <row r="18" customFormat="false" ht="14.25" hidden="false" customHeight="true" outlineLevel="0" collapsed="false">
      <c r="A18" s="613" t="n">
        <f aca="false">+J18-$J$13+K18/24-$K$13/24</f>
        <v>0</v>
      </c>
      <c r="B18" s="614"/>
      <c r="C18" s="615"/>
      <c r="D18" s="615"/>
      <c r="E18" s="616"/>
      <c r="F18" s="623"/>
      <c r="G18" s="624" t="str">
        <f aca="false">IF(K18="","",(B18-F18)/(H18+0.000001)*I18)</f>
        <v/>
      </c>
      <c r="H18" s="625" t="str">
        <f aca="false">IF(B18="","",(B17-B18))</f>
        <v/>
      </c>
      <c r="I18" s="626" t="str">
        <f aca="false">IF(K18="","",24*(A18-A17))</f>
        <v/>
      </c>
      <c r="J18" s="621"/>
      <c r="K18" s="622"/>
      <c r="L18" s="615"/>
      <c r="M18" s="615"/>
      <c r="N18" s="615"/>
      <c r="O18" s="615"/>
      <c r="P18" s="615"/>
      <c r="Q18" s="615"/>
      <c r="R18" s="615"/>
      <c r="S18" s="615"/>
      <c r="T18" s="615"/>
      <c r="U18" s="615"/>
      <c r="V18" s="615"/>
    </row>
    <row r="19" customFormat="false" ht="12.75" hidden="false" customHeight="true" outlineLevel="0" collapsed="false">
      <c r="A19" s="613" t="n">
        <f aca="false">+J19-$J$13+K19/24-$K$13/24</f>
        <v>0</v>
      </c>
      <c r="B19" s="614"/>
      <c r="C19" s="615"/>
      <c r="D19" s="615"/>
      <c r="E19" s="616"/>
      <c r="F19" s="623"/>
      <c r="G19" s="624" t="str">
        <f aca="false">IF(K19="","",(B19-F19)/(H19+0.000001)*I19)</f>
        <v/>
      </c>
      <c r="H19" s="625" t="str">
        <f aca="false">IF(B19="","",(B18-B19))</f>
        <v/>
      </c>
      <c r="I19" s="626" t="str">
        <f aca="false">IF(K19="","",24*(A19-A18))</f>
        <v/>
      </c>
      <c r="J19" s="621"/>
      <c r="K19" s="622"/>
      <c r="L19" s="615"/>
      <c r="M19" s="615"/>
      <c r="N19" s="615"/>
      <c r="O19" s="615"/>
      <c r="P19" s="615"/>
      <c r="Q19" s="615"/>
      <c r="R19" s="615"/>
      <c r="S19" s="615"/>
      <c r="T19" s="615"/>
      <c r="U19" s="615"/>
      <c r="V19" s="615"/>
      <c r="W19" s="627"/>
      <c r="X19" s="627"/>
      <c r="Y19" s="627"/>
    </row>
    <row r="20" customFormat="false" ht="14.25" hidden="false" customHeight="true" outlineLevel="0" collapsed="false">
      <c r="A20" s="613" t="n">
        <f aca="false">+J20-$J$13+K20/24-$K$13/24</f>
        <v>0</v>
      </c>
      <c r="B20" s="614"/>
      <c r="C20" s="615"/>
      <c r="D20" s="615"/>
      <c r="E20" s="616"/>
      <c r="F20" s="623"/>
      <c r="G20" s="624" t="str">
        <f aca="false">IF(K20="","",(B20-F20)/(H20+0.000001)*I20)</f>
        <v/>
      </c>
      <c r="H20" s="625" t="str">
        <f aca="false">IF(B20="","",(B19-B20))</f>
        <v/>
      </c>
      <c r="I20" s="626" t="str">
        <f aca="false">IF(K20="","",24*(A20-A19))</f>
        <v/>
      </c>
      <c r="J20" s="621"/>
      <c r="K20" s="622"/>
      <c r="L20" s="615"/>
      <c r="M20" s="615"/>
      <c r="N20" s="615"/>
      <c r="O20" s="615"/>
      <c r="P20" s="615"/>
      <c r="Q20" s="615"/>
      <c r="R20" s="615"/>
      <c r="S20" s="615"/>
      <c r="T20" s="615"/>
      <c r="U20" s="615"/>
      <c r="V20" s="615"/>
      <c r="W20" s="628"/>
      <c r="X20" s="627"/>
      <c r="Y20" s="627"/>
    </row>
    <row r="21" customFormat="false" ht="14.25" hidden="false" customHeight="true" outlineLevel="0" collapsed="false">
      <c r="A21" s="613" t="n">
        <f aca="false">+J21-$J$13+K21/24-$K$13/24</f>
        <v>0</v>
      </c>
      <c r="B21" s="614"/>
      <c r="C21" s="615"/>
      <c r="D21" s="615"/>
      <c r="E21" s="616"/>
      <c r="F21" s="623"/>
      <c r="G21" s="624" t="str">
        <f aca="false">IF(K21="","",(B21-F21)/(H21+0.000001)*I21)</f>
        <v/>
      </c>
      <c r="H21" s="625" t="str">
        <f aca="false">IF(B21="","",(B20-B21))</f>
        <v/>
      </c>
      <c r="I21" s="626" t="str">
        <f aca="false">IF(K21="","",24*(A21-A20))</f>
        <v/>
      </c>
      <c r="J21" s="621"/>
      <c r="K21" s="622"/>
      <c r="L21" s="615"/>
      <c r="M21" s="615"/>
      <c r="N21" s="615"/>
      <c r="O21" s="615"/>
      <c r="P21" s="615"/>
      <c r="Q21" s="615"/>
      <c r="R21" s="615"/>
      <c r="S21" s="615"/>
      <c r="T21" s="615"/>
      <c r="U21" s="615"/>
      <c r="V21" s="615"/>
      <c r="W21" s="628"/>
      <c r="X21" s="627"/>
      <c r="Y21" s="627"/>
    </row>
    <row r="22" customFormat="false" ht="14.25" hidden="false" customHeight="true" outlineLevel="0" collapsed="false">
      <c r="A22" s="613" t="n">
        <f aca="false">+J22-$J$13+K22/24-$K$13/24</f>
        <v>0</v>
      </c>
      <c r="B22" s="614"/>
      <c r="C22" s="615"/>
      <c r="D22" s="615"/>
      <c r="E22" s="616"/>
      <c r="F22" s="623"/>
      <c r="G22" s="624" t="str">
        <f aca="false">IF(K22="","",(B22-F22)/(H22+0.000001)*I22)</f>
        <v/>
      </c>
      <c r="H22" s="625" t="str">
        <f aca="false">IF(B22="","",(B21-B22))</f>
        <v/>
      </c>
      <c r="I22" s="626" t="str">
        <f aca="false">IF(K22="","",24*(A22-A21))</f>
        <v/>
      </c>
      <c r="J22" s="621"/>
      <c r="K22" s="622"/>
      <c r="L22" s="615"/>
      <c r="M22" s="615"/>
      <c r="N22" s="615"/>
      <c r="O22" s="615"/>
      <c r="P22" s="615"/>
      <c r="Q22" s="615"/>
      <c r="R22" s="615"/>
      <c r="S22" s="615"/>
      <c r="T22" s="615"/>
      <c r="U22" s="615"/>
      <c r="V22" s="615"/>
      <c r="W22" s="629"/>
      <c r="X22" s="627"/>
      <c r="Y22" s="627"/>
    </row>
    <row r="23" customFormat="false" ht="12.75" hidden="false" customHeight="true" outlineLevel="0" collapsed="false">
      <c r="A23" s="613" t="n">
        <f aca="false">+J23-$J$13+K23/24-$K$13/24</f>
        <v>0</v>
      </c>
      <c r="B23" s="614"/>
      <c r="C23" s="615"/>
      <c r="D23" s="615"/>
      <c r="E23" s="616"/>
      <c r="F23" s="623"/>
      <c r="G23" s="624" t="str">
        <f aca="false">IF(K23="","",(B23-F23)/(H23+0.000001)*I23)</f>
        <v/>
      </c>
      <c r="H23" s="625" t="str">
        <f aca="false">IF(B23="","",(B22-B23))</f>
        <v/>
      </c>
      <c r="I23" s="626" t="str">
        <f aca="false">IF(K23="","",24*(A23-A22))</f>
        <v/>
      </c>
      <c r="J23" s="621"/>
      <c r="K23" s="622"/>
      <c r="L23" s="615"/>
      <c r="M23" s="615"/>
      <c r="N23" s="615"/>
      <c r="O23" s="615" t="str">
        <f aca="false">IF('Recept-voorblad'!I89="-","-",'Recept-voorblad'!E89&amp;" "&amp;'Recept-voorblad'!A89&amp;" @"&amp;'Recept-voorblad'!I89)</f>
        <v>  @</v>
      </c>
      <c r="P23" s="615"/>
      <c r="Q23" s="615"/>
      <c r="R23" s="615"/>
      <c r="S23" s="615"/>
      <c r="T23" s="615"/>
      <c r="U23" s="615"/>
      <c r="V23" s="615"/>
      <c r="W23" s="628"/>
      <c r="X23" s="627"/>
      <c r="Y23" s="627"/>
    </row>
    <row r="24" customFormat="false" ht="12.75" hidden="false" customHeight="true" outlineLevel="0" collapsed="false">
      <c r="A24" s="613" t="n">
        <f aca="false">+J24-$J$13+K24/24-$K$13/24</f>
        <v>0</v>
      </c>
      <c r="B24" s="614"/>
      <c r="C24" s="615"/>
      <c r="D24" s="615"/>
      <c r="E24" s="616"/>
      <c r="F24" s="623"/>
      <c r="G24" s="624" t="str">
        <f aca="false">IF(K24="","",(B24-F24)/(H24+0.000001)*I24)</f>
        <v/>
      </c>
      <c r="H24" s="625" t="str">
        <f aca="false">IF(B24="","",(B23-B24))</f>
        <v/>
      </c>
      <c r="I24" s="626" t="str">
        <f aca="false">IF(K24="","",24*(A24-A23))</f>
        <v/>
      </c>
      <c r="J24" s="621"/>
      <c r="K24" s="622"/>
      <c r="L24" s="615"/>
      <c r="M24" s="615"/>
      <c r="N24" s="615"/>
      <c r="O24" s="615" t="str">
        <f aca="false">IF('Recept-voorblad'!I90="-","-",'Recept-voorblad'!E90&amp;" "&amp;'Recept-voorblad'!A90&amp;" @"&amp;'Recept-voorblad'!I90)</f>
        <v>  @</v>
      </c>
      <c r="P24" s="615"/>
      <c r="Q24" s="615"/>
      <c r="R24" s="615"/>
      <c r="S24" s="615"/>
      <c r="T24" s="615"/>
      <c r="U24" s="615"/>
      <c r="V24" s="615"/>
      <c r="W24" s="628"/>
      <c r="X24" s="627"/>
      <c r="Y24" s="627"/>
    </row>
    <row r="25" customFormat="false" ht="12.75" hidden="false" customHeight="true" outlineLevel="0" collapsed="false">
      <c r="A25" s="613" t="n">
        <f aca="false">+J25-$J$13+K25/24-$K$13/24</f>
        <v>0</v>
      </c>
      <c r="B25" s="614"/>
      <c r="C25" s="615"/>
      <c r="D25" s="615"/>
      <c r="E25" s="616"/>
      <c r="F25" s="623"/>
      <c r="G25" s="624" t="str">
        <f aca="false">IF(K25="","",(B25-F25)/(H25+0.000001)*I25)</f>
        <v/>
      </c>
      <c r="H25" s="625" t="str">
        <f aca="false">IF(B25="","",(B24-B25))</f>
        <v/>
      </c>
      <c r="I25" s="626" t="str">
        <f aca="false">IF(K25="","",24*(A25-A24))</f>
        <v/>
      </c>
      <c r="J25" s="621"/>
      <c r="K25" s="622"/>
      <c r="L25" s="615"/>
      <c r="M25" s="615"/>
      <c r="N25" s="615"/>
      <c r="O25" s="615" t="str">
        <f aca="false">IF('Recept-voorblad'!I91="-","-",'Recept-voorblad'!E91&amp;" "&amp;'Recept-voorblad'!A91&amp;" @"&amp;'Recept-voorblad'!I91)</f>
        <v>  @</v>
      </c>
      <c r="P25" s="615"/>
      <c r="Q25" s="615"/>
      <c r="R25" s="615"/>
      <c r="S25" s="615"/>
      <c r="T25" s="615"/>
      <c r="U25" s="615"/>
      <c r="V25" s="615"/>
      <c r="W25" s="627"/>
      <c r="X25" s="627"/>
      <c r="Y25" s="627"/>
    </row>
    <row r="26" customFormat="false" ht="12.75" hidden="false" customHeight="true" outlineLevel="0" collapsed="false">
      <c r="A26" s="613" t="n">
        <f aca="false">+J26-$J$13+K26/24-$K$13/24</f>
        <v>0</v>
      </c>
      <c r="B26" s="614"/>
      <c r="C26" s="615"/>
      <c r="D26" s="615"/>
      <c r="E26" s="616"/>
      <c r="F26" s="623"/>
      <c r="G26" s="624" t="str">
        <f aca="false">IF(K26="","",(B26-F26)/(H26+0.000001)*I26)</f>
        <v/>
      </c>
      <c r="H26" s="625" t="str">
        <f aca="false">IF(B26="","",(B25-B26))</f>
        <v/>
      </c>
      <c r="I26" s="626" t="str">
        <f aca="false">IF(K26="","",24*(A26-A25))</f>
        <v/>
      </c>
      <c r="J26" s="621"/>
      <c r="K26" s="622"/>
      <c r="L26" s="615"/>
      <c r="M26" s="615"/>
      <c r="N26" s="615"/>
      <c r="O26" s="615" t="str">
        <f aca="false">IF('Recept-voorblad'!I92="-","-",'Recept-voorblad'!E92&amp;" "&amp;'Recept-voorblad'!A92&amp;" @"&amp;'Recept-voorblad'!I92)</f>
        <v>  @</v>
      </c>
      <c r="P26" s="615"/>
      <c r="Q26" s="615"/>
      <c r="R26" s="615"/>
      <c r="S26" s="615"/>
      <c r="T26" s="615"/>
      <c r="U26" s="615"/>
      <c r="V26" s="615"/>
    </row>
    <row r="27" customFormat="false" ht="12.75" hidden="false" customHeight="true" outlineLevel="0" collapsed="false">
      <c r="A27" s="613" t="n">
        <f aca="false">+J27-$J$13+K27/24-$K$13/24</f>
        <v>0</v>
      </c>
      <c r="B27" s="614"/>
      <c r="C27" s="615"/>
      <c r="D27" s="615"/>
      <c r="E27" s="616"/>
      <c r="F27" s="623"/>
      <c r="G27" s="624" t="str">
        <f aca="false">IF(K27="","",(B27-F27)/(H27+0.000001)*I27)</f>
        <v/>
      </c>
      <c r="H27" s="625" t="str">
        <f aca="false">IF(B27="","",(B26-B27))</f>
        <v/>
      </c>
      <c r="I27" s="626" t="str">
        <f aca="false">IF(K27="","",24*(A27-A26))</f>
        <v/>
      </c>
      <c r="J27" s="621"/>
      <c r="K27" s="622"/>
      <c r="L27" s="615"/>
      <c r="M27" s="615"/>
      <c r="N27" s="615"/>
      <c r="O27" s="615" t="str">
        <f aca="false">IF('Recept-voorblad'!I93="-","-",'Recept-voorblad'!E93&amp;" "&amp;'Recept-voorblad'!A93&amp;" @"&amp;'Recept-voorblad'!I93)</f>
        <v>  @</v>
      </c>
      <c r="P27" s="615"/>
      <c r="Q27" s="615"/>
      <c r="R27" s="615"/>
      <c r="S27" s="615"/>
      <c r="T27" s="615"/>
      <c r="U27" s="615"/>
      <c r="V27" s="615"/>
    </row>
    <row r="28" customFormat="false" ht="12.75" hidden="false" customHeight="true" outlineLevel="0" collapsed="false">
      <c r="A28" s="613" t="n">
        <f aca="false">+J28-$J$13+K28/24-$K$13/24</f>
        <v>0</v>
      </c>
      <c r="B28" s="614"/>
      <c r="C28" s="615"/>
      <c r="D28" s="615"/>
      <c r="E28" s="616"/>
      <c r="F28" s="623"/>
      <c r="G28" s="624" t="str">
        <f aca="false">IF(K28="","",(B28-F28)/(H28+0.000001)*I28)</f>
        <v/>
      </c>
      <c r="H28" s="625" t="str">
        <f aca="false">IF(B28="","",(B27-B28))</f>
        <v/>
      </c>
      <c r="I28" s="626" t="str">
        <f aca="false">IF(K28="","",24*(A28-A27))</f>
        <v/>
      </c>
      <c r="J28" s="621"/>
      <c r="K28" s="622"/>
      <c r="L28" s="615"/>
      <c r="M28" s="615"/>
      <c r="N28" s="615"/>
      <c r="O28" s="615"/>
      <c r="P28" s="615"/>
      <c r="Q28" s="615"/>
      <c r="R28" s="615"/>
      <c r="S28" s="615"/>
      <c r="T28" s="615"/>
      <c r="U28" s="615"/>
      <c r="V28" s="615"/>
    </row>
    <row r="29" customFormat="false" ht="12.75" hidden="false" customHeight="true" outlineLevel="0" collapsed="false">
      <c r="A29" s="613" t="n">
        <f aca="false">+J29-$J$13+K29/24-$K$13/24</f>
        <v>0</v>
      </c>
      <c r="B29" s="614"/>
      <c r="C29" s="615"/>
      <c r="D29" s="615"/>
      <c r="E29" s="616"/>
      <c r="F29" s="623"/>
      <c r="G29" s="624" t="str">
        <f aca="false">IF(K29="","",(B29-F29)/(H29+0.000001)*I29)</f>
        <v/>
      </c>
      <c r="H29" s="625" t="str">
        <f aca="false">IF(B29="","",(B28-B29))</f>
        <v/>
      </c>
      <c r="I29" s="626" t="str">
        <f aca="false">IF(K29="","",24*(A29-A28))</f>
        <v/>
      </c>
      <c r="J29" s="621"/>
      <c r="K29" s="622"/>
      <c r="L29" s="615"/>
      <c r="M29" s="615"/>
      <c r="N29" s="615"/>
      <c r="O29" s="615"/>
      <c r="P29" s="615"/>
      <c r="Q29" s="615"/>
      <c r="R29" s="615"/>
      <c r="S29" s="615"/>
      <c r="T29" s="615"/>
      <c r="U29" s="615"/>
      <c r="V29" s="615"/>
    </row>
    <row r="30" customFormat="false" ht="12.75" hidden="false" customHeight="true" outlineLevel="0" collapsed="false">
      <c r="A30" s="613" t="n">
        <f aca="false">+J30-$J$13+K30/24-$K$13/24</f>
        <v>0</v>
      </c>
      <c r="B30" s="614"/>
      <c r="C30" s="615"/>
      <c r="D30" s="615"/>
      <c r="E30" s="616"/>
      <c r="F30" s="623"/>
      <c r="G30" s="624" t="str">
        <f aca="false">IF(K30="","",(B30-F30)/(H30+0.000001)*I30)</f>
        <v/>
      </c>
      <c r="H30" s="625" t="str">
        <f aca="false">IF(B30="","",(B29-B30))</f>
        <v/>
      </c>
      <c r="I30" s="626" t="str">
        <f aca="false">IF(K30="","",24*(A30-A29))</f>
        <v/>
      </c>
      <c r="J30" s="621"/>
      <c r="K30" s="622"/>
      <c r="L30" s="615"/>
      <c r="M30" s="615"/>
      <c r="N30" s="615"/>
      <c r="O30" s="615"/>
      <c r="P30" s="615"/>
      <c r="Q30" s="615"/>
      <c r="R30" s="615"/>
      <c r="S30" s="615"/>
      <c r="T30" s="615"/>
      <c r="U30" s="615"/>
      <c r="V30" s="615"/>
    </row>
    <row r="31" customFormat="false" ht="12.75" hidden="false" customHeight="true" outlineLevel="0" collapsed="false">
      <c r="A31" s="613" t="n">
        <f aca="false">+J31-$J$13+K31/24-$K$13/24</f>
        <v>0</v>
      </c>
      <c r="B31" s="614"/>
      <c r="C31" s="615"/>
      <c r="D31" s="615"/>
      <c r="E31" s="616"/>
      <c r="F31" s="623"/>
      <c r="G31" s="624" t="str">
        <f aca="false">IF(K31="","",(B31-F31)/(H31+0.000001)*I31)</f>
        <v/>
      </c>
      <c r="H31" s="625" t="str">
        <f aca="false">IF(B31="","",(B30-B31))</f>
        <v/>
      </c>
      <c r="I31" s="626" t="str">
        <f aca="false">IF(K31="","",24*(A31-A30))</f>
        <v/>
      </c>
      <c r="J31" s="621"/>
      <c r="K31" s="622"/>
      <c r="L31" s="615"/>
      <c r="M31" s="615"/>
      <c r="N31" s="615"/>
      <c r="O31" s="615"/>
      <c r="P31" s="615"/>
      <c r="Q31" s="615"/>
      <c r="R31" s="615"/>
      <c r="S31" s="615"/>
      <c r="T31" s="615"/>
      <c r="U31" s="615"/>
      <c r="V31" s="615"/>
    </row>
    <row r="32" customFormat="false" ht="12.75" hidden="false" customHeight="true" outlineLevel="0" collapsed="false">
      <c r="A32" s="613" t="n">
        <f aca="false">+J32-$J$13+K32/24-$K$13/24</f>
        <v>0</v>
      </c>
      <c r="B32" s="614"/>
      <c r="C32" s="615"/>
      <c r="D32" s="615"/>
      <c r="E32" s="616"/>
      <c r="F32" s="623"/>
      <c r="G32" s="624" t="str">
        <f aca="false">IF(K32="","",(B32-F32)/(H32+0.000001)*I32)</f>
        <v/>
      </c>
      <c r="H32" s="625" t="str">
        <f aca="false">IF(B32="","",(B31-B32))</f>
        <v/>
      </c>
      <c r="I32" s="626" t="str">
        <f aca="false">IF(K32="","",24*(A32-A31))</f>
        <v/>
      </c>
      <c r="J32" s="621"/>
      <c r="K32" s="622"/>
      <c r="L32" s="615"/>
      <c r="M32" s="615"/>
      <c r="N32" s="615"/>
      <c r="O32" s="615"/>
      <c r="P32" s="615"/>
      <c r="Q32" s="615"/>
      <c r="R32" s="615"/>
      <c r="S32" s="615"/>
      <c r="T32" s="615"/>
      <c r="U32" s="615"/>
      <c r="V32" s="615"/>
    </row>
    <row r="33" customFormat="false" ht="12.75" hidden="false" customHeight="true" outlineLevel="0" collapsed="false">
      <c r="A33" s="613" t="n">
        <f aca="false">+J33-$J$13+K33/24-$K$13/24</f>
        <v>0</v>
      </c>
      <c r="B33" s="614"/>
      <c r="C33" s="615"/>
      <c r="D33" s="615"/>
      <c r="E33" s="616"/>
      <c r="F33" s="623"/>
      <c r="G33" s="624" t="str">
        <f aca="false">IF(K33="","",(B33-F33)/(H33+0.000001)*I33)</f>
        <v/>
      </c>
      <c r="H33" s="625" t="str">
        <f aca="false">IF(B33="","",(B32-B33))</f>
        <v/>
      </c>
      <c r="I33" s="626" t="str">
        <f aca="false">IF(K33="","",24*(A33-A32))</f>
        <v/>
      </c>
      <c r="J33" s="621"/>
      <c r="K33" s="622"/>
      <c r="L33" s="615"/>
      <c r="M33" s="615"/>
      <c r="N33" s="615"/>
      <c r="O33" s="615"/>
      <c r="P33" s="615"/>
      <c r="Q33" s="615"/>
      <c r="R33" s="615"/>
      <c r="S33" s="615"/>
      <c r="T33" s="615"/>
      <c r="U33" s="615"/>
      <c r="V33" s="615"/>
    </row>
    <row r="34" customFormat="false" ht="12.75" hidden="false" customHeight="true" outlineLevel="0" collapsed="false">
      <c r="A34" s="613" t="n">
        <f aca="false">+J34-$J$13+K34/24-$K$13/24</f>
        <v>0</v>
      </c>
      <c r="B34" s="614"/>
      <c r="C34" s="615"/>
      <c r="D34" s="615"/>
      <c r="E34" s="616"/>
      <c r="F34" s="623"/>
      <c r="G34" s="624" t="str">
        <f aca="false">IF(K34="","",(B34-F34)/(H34+0.000001)*I34)</f>
        <v/>
      </c>
      <c r="H34" s="625" t="str">
        <f aca="false">IF(B34="","",(B33-B34))</f>
        <v/>
      </c>
      <c r="I34" s="626" t="str">
        <f aca="false">IF(K34="","",24*(A34-A33))</f>
        <v/>
      </c>
      <c r="J34" s="621"/>
      <c r="K34" s="622"/>
      <c r="L34" s="615"/>
      <c r="M34" s="615"/>
      <c r="N34" s="615"/>
      <c r="O34" s="615"/>
      <c r="P34" s="615"/>
      <c r="Q34" s="615"/>
      <c r="R34" s="615"/>
      <c r="S34" s="615"/>
      <c r="T34" s="615"/>
      <c r="U34" s="615"/>
      <c r="V34" s="615"/>
    </row>
    <row r="35" customFormat="false" ht="12.75" hidden="false" customHeight="true" outlineLevel="0" collapsed="false">
      <c r="A35" s="613" t="n">
        <f aca="false">+J35-$J$13+K35/24-$K$13/24</f>
        <v>0</v>
      </c>
      <c r="B35" s="614"/>
      <c r="C35" s="615"/>
      <c r="D35" s="615"/>
      <c r="E35" s="616"/>
      <c r="F35" s="623"/>
      <c r="G35" s="624" t="str">
        <f aca="false">IF(K35="","",(B35-F35)/(H35+0.000001)*I35)</f>
        <v/>
      </c>
      <c r="H35" s="625" t="str">
        <f aca="false">IF(B35="","",(B34-B35))</f>
        <v/>
      </c>
      <c r="I35" s="626" t="str">
        <f aca="false">IF(K35="","",24*(A35-A34))</f>
        <v/>
      </c>
      <c r="J35" s="621"/>
      <c r="K35" s="622"/>
      <c r="L35" s="615"/>
      <c r="M35" s="615"/>
      <c r="N35" s="615"/>
      <c r="O35" s="615"/>
      <c r="P35" s="615"/>
      <c r="Q35" s="615"/>
      <c r="R35" s="615"/>
      <c r="S35" s="615"/>
      <c r="T35" s="615"/>
      <c r="U35" s="615"/>
      <c r="V35" s="615"/>
    </row>
    <row r="36" customFormat="false" ht="12.75" hidden="false" customHeight="true" outlineLevel="0" collapsed="false">
      <c r="A36" s="613" t="n">
        <f aca="false">+J36-$J$13+K36/24-$K$13/24</f>
        <v>0</v>
      </c>
      <c r="B36" s="614"/>
      <c r="C36" s="615"/>
      <c r="D36" s="615"/>
      <c r="E36" s="616"/>
      <c r="F36" s="623"/>
      <c r="G36" s="624" t="str">
        <f aca="false">IF(K36="","",(B36-F36)/(H36+0.000001)*I36)</f>
        <v/>
      </c>
      <c r="H36" s="625" t="str">
        <f aca="false">IF(B36="","",(B35-B36))</f>
        <v/>
      </c>
      <c r="I36" s="626" t="str">
        <f aca="false">IF(K36="","",24*(A36-A35))</f>
        <v/>
      </c>
      <c r="J36" s="621"/>
      <c r="K36" s="622"/>
      <c r="L36" s="615"/>
      <c r="M36" s="615"/>
      <c r="N36" s="615"/>
      <c r="O36" s="615"/>
      <c r="P36" s="615"/>
      <c r="Q36" s="615"/>
      <c r="R36" s="615"/>
      <c r="S36" s="615"/>
      <c r="T36" s="615"/>
      <c r="U36" s="615"/>
      <c r="V36" s="615"/>
    </row>
    <row r="37" customFormat="false" ht="12.75" hidden="false" customHeight="true" outlineLevel="0" collapsed="false">
      <c r="A37" s="613" t="n">
        <f aca="false">+J37-$J$13+K37/24-$K$13/24</f>
        <v>0</v>
      </c>
      <c r="B37" s="614"/>
      <c r="C37" s="615"/>
      <c r="D37" s="615"/>
      <c r="E37" s="616"/>
      <c r="F37" s="623"/>
      <c r="G37" s="624" t="str">
        <f aca="false">IF(K37="","",(B37-F37)/(H37+0.000001)*I37)</f>
        <v/>
      </c>
      <c r="H37" s="625" t="str">
        <f aca="false">IF(B37="","",(B36-B37))</f>
        <v/>
      </c>
      <c r="I37" s="626" t="str">
        <f aca="false">IF(K37="","",24*(A37-A36))</f>
        <v/>
      </c>
      <c r="J37" s="621"/>
      <c r="K37" s="622"/>
      <c r="L37" s="615"/>
      <c r="M37" s="615"/>
      <c r="N37" s="615"/>
      <c r="O37" s="615"/>
      <c r="P37" s="615"/>
      <c r="Q37" s="615"/>
      <c r="R37" s="615"/>
      <c r="S37" s="615"/>
      <c r="T37" s="615"/>
      <c r="U37" s="615"/>
      <c r="V37" s="615"/>
    </row>
    <row r="38" customFormat="false" ht="15.75" hidden="false" customHeight="true" outlineLevel="0" collapsed="false">
      <c r="A38" s="613" t="n">
        <f aca="false">+J38-$J$13+K38/24-$K$13/24</f>
        <v>0</v>
      </c>
      <c r="B38" s="614"/>
      <c r="C38" s="615"/>
      <c r="D38" s="615"/>
      <c r="E38" s="616"/>
      <c r="F38" s="623"/>
      <c r="G38" s="624" t="str">
        <f aca="false">IF(K38="","",(B38-F38)/(H38+0.000001)*I38)</f>
        <v/>
      </c>
      <c r="H38" s="625" t="str">
        <f aca="false">IF(B38="","",(B37-B38))</f>
        <v/>
      </c>
      <c r="I38" s="626" t="str">
        <f aca="false">IF(K38="","",24*(A38-A37))</f>
        <v/>
      </c>
      <c r="J38" s="621"/>
      <c r="K38" s="622"/>
      <c r="L38" s="615"/>
      <c r="M38" s="615"/>
      <c r="N38" s="615"/>
      <c r="O38" s="615"/>
      <c r="P38" s="615"/>
      <c r="Q38" s="615"/>
      <c r="R38" s="615"/>
      <c r="S38" s="615"/>
      <c r="T38" s="615"/>
      <c r="U38" s="615"/>
      <c r="V38" s="615"/>
      <c r="X38" s="244"/>
      <c r="Y38" s="244"/>
      <c r="Z38" s="244"/>
      <c r="AB38" s="630" t="s">
        <v>236</v>
      </c>
    </row>
    <row r="39" customFormat="false" ht="15.75" hidden="false" customHeight="true" outlineLevel="0" collapsed="false">
      <c r="A39" s="613" t="n">
        <f aca="false">+J39-$J$13+K39/24-$K$13/24</f>
        <v>0</v>
      </c>
      <c r="B39" s="614"/>
      <c r="C39" s="615"/>
      <c r="D39" s="615"/>
      <c r="E39" s="616"/>
      <c r="F39" s="623"/>
      <c r="G39" s="624" t="str">
        <f aca="false">IF(K39="","",(B39-F39)/(H39+0.000001)*I39)</f>
        <v/>
      </c>
      <c r="H39" s="625" t="str">
        <f aca="false">IF(B39="","",(B38-B39))</f>
        <v/>
      </c>
      <c r="I39" s="626" t="str">
        <f aca="false">IF(K39="","",24*(A39-A38))</f>
        <v/>
      </c>
      <c r="J39" s="621"/>
      <c r="K39" s="622"/>
      <c r="L39" s="615"/>
      <c r="M39" s="615"/>
      <c r="N39" s="615"/>
      <c r="O39" s="615"/>
      <c r="P39" s="615"/>
      <c r="Q39" s="615"/>
      <c r="R39" s="615"/>
      <c r="S39" s="615"/>
      <c r="T39" s="615"/>
      <c r="U39" s="615"/>
      <c r="V39" s="615"/>
      <c r="X39" s="631" t="str">
        <f aca="false">_xlfn.IFNA(IF(AB39&gt;0,"x","-"),"-")</f>
        <v>-</v>
      </c>
      <c r="Y39" s="244"/>
      <c r="Z39" s="632" t="s">
        <v>237</v>
      </c>
      <c r="AA39" s="244"/>
      <c r="AB39" s="633" t="e">
        <f aca="false" t="array" ref="AB39:AB39">INDEX(J11:L42,MATCH("*"&amp;Z39&amp;"*",TEXT(L11:L42,0),0),1)</f>
        <v>#N/A</v>
      </c>
    </row>
    <row r="40" customFormat="false" ht="15.75" hidden="false" customHeight="true" outlineLevel="0" collapsed="false">
      <c r="A40" s="613" t="n">
        <f aca="false">+J40-$J$13+K40/24-$K$13/24</f>
        <v>0</v>
      </c>
      <c r="B40" s="614"/>
      <c r="C40" s="615"/>
      <c r="D40" s="615"/>
      <c r="E40" s="616"/>
      <c r="F40" s="623"/>
      <c r="G40" s="624" t="str">
        <f aca="false">IF(K40="","",(B40-F40)/(H40+0.000001)*I40)</f>
        <v/>
      </c>
      <c r="H40" s="625" t="str">
        <f aca="false">IF(B40="","",(B39-B40))</f>
        <v/>
      </c>
      <c r="I40" s="626" t="str">
        <f aca="false">IF(K40="","",24*(A40-A39))</f>
        <v/>
      </c>
      <c r="J40" s="621"/>
      <c r="K40" s="622"/>
      <c r="L40" s="615"/>
      <c r="M40" s="615"/>
      <c r="N40" s="615"/>
      <c r="O40" s="615"/>
      <c r="P40" s="615"/>
      <c r="Q40" s="615"/>
      <c r="R40" s="615"/>
      <c r="S40" s="615"/>
      <c r="T40" s="615"/>
      <c r="U40" s="615"/>
      <c r="V40" s="615"/>
      <c r="X40" s="634"/>
      <c r="Y40" s="244"/>
      <c r="Z40" s="244"/>
      <c r="AA40" s="244"/>
    </row>
    <row r="41" customFormat="false" ht="15.75" hidden="false" customHeight="true" outlineLevel="0" collapsed="false">
      <c r="A41" s="613" t="n">
        <f aca="false">+J41-$J$13+K41/24-$K$13/24</f>
        <v>0</v>
      </c>
      <c r="B41" s="614"/>
      <c r="C41" s="615"/>
      <c r="D41" s="615"/>
      <c r="E41" s="616"/>
      <c r="F41" s="623"/>
      <c r="G41" s="624" t="str">
        <f aca="false">IF(K41="","",(B41-F41)/(H41+0.000001)*I41)</f>
        <v/>
      </c>
      <c r="H41" s="625" t="str">
        <f aca="false">IF(B41="","",(B40-B41))</f>
        <v/>
      </c>
      <c r="I41" s="626" t="str">
        <f aca="false">IF(K41="","",24*(A41-A40))</f>
        <v/>
      </c>
      <c r="J41" s="621"/>
      <c r="K41" s="622"/>
      <c r="L41" s="615"/>
      <c r="M41" s="615"/>
      <c r="N41" s="615"/>
      <c r="O41" s="615"/>
      <c r="P41" s="615"/>
      <c r="Q41" s="615"/>
      <c r="R41" s="615"/>
      <c r="S41" s="615"/>
      <c r="T41" s="615"/>
      <c r="U41" s="615"/>
      <c r="V41" s="615"/>
      <c r="X41" s="631" t="str">
        <f aca="false">_xlfn.IFNA(IF(AB41&gt;0,"x","-"),"-")</f>
        <v>-</v>
      </c>
      <c r="Y41" s="244"/>
      <c r="Z41" s="244" t="s">
        <v>238</v>
      </c>
      <c r="AA41" s="244"/>
      <c r="AB41" s="633" t="e">
        <f aca="false" t="array" ref="AB41:AB41">INDEX(J11:L42,MATCH("*"&amp;Z41&amp;"*",TEXT(L11:L42,0),0),1)</f>
        <v>#N/A</v>
      </c>
    </row>
    <row r="42" customFormat="false" ht="15.75" hidden="false" customHeight="true" outlineLevel="0" collapsed="false">
      <c r="A42" s="613" t="n">
        <f aca="false">+J42-$J$13+K42/24-$K$13/24</f>
        <v>0</v>
      </c>
      <c r="B42" s="614"/>
      <c r="C42" s="615"/>
      <c r="D42" s="615"/>
      <c r="E42" s="616"/>
      <c r="F42" s="623"/>
      <c r="G42" s="624" t="str">
        <f aca="false">IF(K42="","",(B42-F42)/(H42+0.000001)*I42)</f>
        <v/>
      </c>
      <c r="H42" s="625" t="str">
        <f aca="false">IF(B42="","",(B41-B42))</f>
        <v/>
      </c>
      <c r="I42" s="626" t="str">
        <f aca="false">IF(K42="","",24*(A42-A41))</f>
        <v/>
      </c>
      <c r="J42" s="621"/>
      <c r="K42" s="622"/>
      <c r="L42" s="615"/>
      <c r="M42" s="615"/>
      <c r="N42" s="615"/>
      <c r="O42" s="615"/>
      <c r="P42" s="615"/>
      <c r="Q42" s="615"/>
      <c r="R42" s="615"/>
      <c r="S42" s="615"/>
      <c r="T42" s="615"/>
      <c r="U42" s="615"/>
      <c r="V42" s="615"/>
      <c r="X42" s="634"/>
      <c r="Y42" s="244"/>
      <c r="Z42" s="244"/>
      <c r="AA42" s="244"/>
    </row>
    <row r="43" customFormat="false" ht="12.75" hidden="false" customHeight="true" outlineLevel="0" collapsed="false">
      <c r="A43" s="613" t="n">
        <f aca="false">+J43-$J$13+K43/24-$K$13/24</f>
        <v>0</v>
      </c>
      <c r="B43" s="614"/>
      <c r="C43" s="615"/>
      <c r="D43" s="615"/>
      <c r="E43" s="616"/>
      <c r="F43" s="623"/>
      <c r="G43" s="624" t="str">
        <f aca="false">IF(K43="","",(B43-F43)/(H43+0.000001)*I43)</f>
        <v/>
      </c>
      <c r="H43" s="625" t="str">
        <f aca="false">IF(B43="","",(B42-B43))</f>
        <v/>
      </c>
      <c r="I43" s="626" t="str">
        <f aca="false">IF(K43="","",24*(A43-A42))</f>
        <v/>
      </c>
      <c r="J43" s="621"/>
      <c r="K43" s="622"/>
      <c r="L43" s="615"/>
      <c r="M43" s="615"/>
      <c r="N43" s="615"/>
      <c r="O43" s="615"/>
      <c r="P43" s="615"/>
      <c r="Q43" s="615"/>
      <c r="R43" s="615"/>
      <c r="S43" s="615"/>
      <c r="T43" s="615"/>
      <c r="U43" s="615"/>
      <c r="V43" s="615"/>
      <c r="X43" s="631" t="str">
        <f aca="false">_xlfn.IFNA(IF(AB43&gt;0,"x","-"),"-")</f>
        <v>-</v>
      </c>
      <c r="Y43" s="244"/>
      <c r="Z43" s="244" t="s">
        <v>239</v>
      </c>
      <c r="AA43" s="244"/>
      <c r="AB43" s="633" t="e">
        <f aca="false" t="array" ref="AB43:AB43">INDEX(J11:L42,MATCH("*"&amp;Z43&amp;"*",TEXT(L11:L42,0),0),1)</f>
        <v>#N/A</v>
      </c>
    </row>
    <row r="44" customFormat="false" ht="15.75" hidden="false" customHeight="true" outlineLevel="0" collapsed="false">
      <c r="A44" s="613" t="n">
        <f aca="false">+J44-$J$13+K44/24-$K$13/24</f>
        <v>0</v>
      </c>
      <c r="B44" s="614"/>
      <c r="C44" s="615"/>
      <c r="D44" s="615"/>
      <c r="E44" s="616"/>
      <c r="F44" s="623"/>
      <c r="G44" s="624" t="str">
        <f aca="false">IF(K44="","",(B44-F44)/(H44+0.000001)*I44)</f>
        <v/>
      </c>
      <c r="H44" s="625" t="str">
        <f aca="false">IF(B44="","",(B43-B44))</f>
        <v/>
      </c>
      <c r="I44" s="626" t="str">
        <f aca="false">IF(K44="","",24*(A44-A43))</f>
        <v/>
      </c>
      <c r="J44" s="621"/>
      <c r="K44" s="622"/>
      <c r="L44" s="615"/>
      <c r="M44" s="615"/>
      <c r="N44" s="615"/>
      <c r="O44" s="615"/>
      <c r="P44" s="615"/>
      <c r="Q44" s="615"/>
      <c r="R44" s="615"/>
      <c r="S44" s="615"/>
      <c r="T44" s="615"/>
      <c r="U44" s="615"/>
      <c r="V44" s="615"/>
      <c r="X44" s="634"/>
      <c r="Y44" s="244"/>
      <c r="Z44" s="244"/>
      <c r="AA44" s="244"/>
    </row>
    <row r="45" customFormat="false" ht="15.75" hidden="false" customHeight="true" outlineLevel="0" collapsed="false">
      <c r="A45" s="613" t="n">
        <f aca="false">+J45-$J$13+K45/24-$K$13/24</f>
        <v>0</v>
      </c>
      <c r="B45" s="614"/>
      <c r="C45" s="615"/>
      <c r="D45" s="615"/>
      <c r="E45" s="616"/>
      <c r="F45" s="623"/>
      <c r="G45" s="624" t="str">
        <f aca="false">IF(K45="","",(B45-F45)/(H45+0.000001)*I45)</f>
        <v/>
      </c>
      <c r="H45" s="625" t="str">
        <f aca="false">IF(B45="","",(B44-B45))</f>
        <v/>
      </c>
      <c r="I45" s="626" t="str">
        <f aca="false">IF(K45="","",24*(A45-A44))</f>
        <v/>
      </c>
      <c r="J45" s="621"/>
      <c r="K45" s="622"/>
      <c r="L45" s="615"/>
      <c r="M45" s="615"/>
      <c r="N45" s="615"/>
      <c r="O45" s="615"/>
      <c r="P45" s="615"/>
      <c r="Q45" s="615"/>
      <c r="R45" s="615"/>
      <c r="S45" s="615"/>
      <c r="T45" s="615"/>
      <c r="U45" s="615"/>
      <c r="V45" s="615"/>
      <c r="X45" s="631" t="str">
        <f aca="false">_xlfn.IFNA(IF(AB45&gt;0,"x","-"),"-")</f>
        <v>-</v>
      </c>
      <c r="Y45" s="244"/>
      <c r="Z45" s="244" t="s">
        <v>240</v>
      </c>
      <c r="AA45" s="244"/>
      <c r="AB45" s="633" t="e">
        <f aca="false" t="array" ref="AB45:AB45">INDEX(J11:L42,MATCH("*"&amp;Z45&amp;"*",TEXT(L11:L42,0),0),1)</f>
        <v>#N/A</v>
      </c>
    </row>
    <row r="46" customFormat="false" ht="15.75" hidden="false" customHeight="true" outlineLevel="0" collapsed="false">
      <c r="A46" s="613" t="n">
        <f aca="false">+J46-$J$13+K46/24-$K$13/24</f>
        <v>0</v>
      </c>
      <c r="B46" s="614"/>
      <c r="C46" s="615"/>
      <c r="D46" s="615"/>
      <c r="E46" s="616"/>
      <c r="F46" s="623"/>
      <c r="G46" s="624" t="str">
        <f aca="false">IF(K46="","",(B46-F46)/(H46+0.000001)*I46)</f>
        <v/>
      </c>
      <c r="H46" s="625" t="str">
        <f aca="false">IF(B46="","",(B45-B46))</f>
        <v/>
      </c>
      <c r="I46" s="626" t="str">
        <f aca="false">IF(K46="","",24*(A46-A45))</f>
        <v/>
      </c>
      <c r="J46" s="621"/>
      <c r="K46" s="622"/>
      <c r="L46" s="615"/>
      <c r="M46" s="615"/>
      <c r="N46" s="615"/>
      <c r="O46" s="615"/>
      <c r="P46" s="615"/>
      <c r="Q46" s="615"/>
      <c r="R46" s="615"/>
      <c r="S46" s="615"/>
      <c r="T46" s="615"/>
      <c r="U46" s="615"/>
      <c r="V46" s="615"/>
      <c r="X46" s="634"/>
      <c r="Y46" s="244"/>
      <c r="Z46" s="244"/>
      <c r="AA46" s="244"/>
    </row>
    <row r="47" customFormat="false" ht="15.75" hidden="false" customHeight="true" outlineLevel="0" collapsed="false">
      <c r="A47" s="613" t="n">
        <f aca="false">+J47-$J$13+K47/24-$K$13/24</f>
        <v>0</v>
      </c>
      <c r="B47" s="614"/>
      <c r="C47" s="615"/>
      <c r="D47" s="615"/>
      <c r="E47" s="616"/>
      <c r="F47" s="623"/>
      <c r="G47" s="624" t="str">
        <f aca="false">IF(K47="","",(B47-F47)/(H47+0.000001)*I47)</f>
        <v/>
      </c>
      <c r="H47" s="625" t="str">
        <f aca="false">IF(B47="","",(B46-B47))</f>
        <v/>
      </c>
      <c r="I47" s="626" t="str">
        <f aca="false">IF(K47="","",24*(A47-A46))</f>
        <v/>
      </c>
      <c r="J47" s="621"/>
      <c r="K47" s="622"/>
      <c r="L47" s="615"/>
      <c r="M47" s="615"/>
      <c r="N47" s="615"/>
      <c r="O47" s="615"/>
      <c r="P47" s="615"/>
      <c r="Q47" s="615"/>
      <c r="R47" s="615"/>
      <c r="S47" s="615"/>
      <c r="T47" s="615"/>
      <c r="U47" s="615"/>
      <c r="V47" s="615"/>
      <c r="X47" s="631" t="str">
        <f aca="false">_xlfn.IFNA(IF(AB47&gt;0,"x","-"),"-")</f>
        <v>-</v>
      </c>
      <c r="Y47" s="244"/>
      <c r="Z47" s="244" t="s">
        <v>241</v>
      </c>
      <c r="AA47" s="244"/>
      <c r="AB47" s="633" t="e">
        <f aca="false" t="array" ref="AB47:AB47">INDEX(J13:L44,MATCH("*"&amp;Z47&amp;"*",TEXT(L13:L44,0),0),1)</f>
        <v>#N/A</v>
      </c>
    </row>
    <row r="48" customFormat="false" ht="12.75" hidden="false" customHeight="true" outlineLevel="0" collapsed="false">
      <c r="A48" s="613" t="n">
        <f aca="false">+J48-$J$13+K48/24-$K$13/24</f>
        <v>0</v>
      </c>
      <c r="B48" s="614"/>
      <c r="C48" s="615"/>
      <c r="D48" s="615"/>
      <c r="E48" s="616"/>
      <c r="F48" s="623"/>
      <c r="G48" s="624" t="str">
        <f aca="false">IF(K48="","",(B48-F48)/(H48+0.000001)*I48)</f>
        <v/>
      </c>
      <c r="H48" s="625" t="str">
        <f aca="false">IF(B48="","",(B47-B48))</f>
        <v/>
      </c>
      <c r="I48" s="626" t="str">
        <f aca="false">IF(K48="","",24*(A48-A47))</f>
        <v/>
      </c>
      <c r="J48" s="621"/>
      <c r="K48" s="622"/>
      <c r="L48" s="615"/>
      <c r="M48" s="615"/>
      <c r="N48" s="615"/>
      <c r="O48" s="615"/>
      <c r="P48" s="615"/>
      <c r="Q48" s="615"/>
      <c r="R48" s="615"/>
      <c r="S48" s="615"/>
      <c r="T48" s="615"/>
      <c r="U48" s="615"/>
      <c r="V48" s="615"/>
    </row>
    <row r="49" customFormat="false" ht="12.75" hidden="false" customHeight="true" outlineLevel="0" collapsed="false">
      <c r="A49" s="613" t="n">
        <f aca="false">+J49-$J$13+K49/24-$K$13/24</f>
        <v>0</v>
      </c>
      <c r="B49" s="614"/>
      <c r="C49" s="615"/>
      <c r="D49" s="615"/>
      <c r="E49" s="616"/>
      <c r="F49" s="623"/>
      <c r="G49" s="624" t="str">
        <f aca="false">IF(K49="","",(B49-F49)/(H49+0.000001)*I49)</f>
        <v/>
      </c>
      <c r="H49" s="625" t="str">
        <f aca="false">IF(B49="","",(B48-B49))</f>
        <v/>
      </c>
      <c r="I49" s="626" t="str">
        <f aca="false">IF(K49="","",24*(A49-A48))</f>
        <v/>
      </c>
      <c r="J49" s="621"/>
      <c r="K49" s="622"/>
      <c r="L49" s="615"/>
      <c r="M49" s="615"/>
      <c r="N49" s="615"/>
      <c r="O49" s="615"/>
      <c r="P49" s="615"/>
      <c r="Q49" s="615"/>
      <c r="R49" s="615"/>
      <c r="S49" s="615"/>
      <c r="T49" s="615"/>
      <c r="U49" s="615"/>
      <c r="V49" s="615"/>
    </row>
    <row r="50" customFormat="false" ht="12.75" hidden="false" customHeight="true" outlineLevel="0" collapsed="false">
      <c r="A50" s="613" t="n">
        <f aca="false">+J50-$J$13+K50/24-$K$13/24</f>
        <v>0</v>
      </c>
      <c r="B50" s="614"/>
      <c r="C50" s="615"/>
      <c r="D50" s="615"/>
      <c r="E50" s="616"/>
      <c r="F50" s="623"/>
      <c r="G50" s="624" t="str">
        <f aca="false">IF(K50="","",(B50-F50)/(H50+0.000001)*I50)</f>
        <v/>
      </c>
      <c r="H50" s="625" t="str">
        <f aca="false">IF(B50="","",(B49-B50))</f>
        <v/>
      </c>
      <c r="I50" s="626" t="str">
        <f aca="false">IF(K50="","",24*(A50-A49))</f>
        <v/>
      </c>
      <c r="J50" s="621"/>
      <c r="K50" s="622"/>
      <c r="L50" s="615"/>
      <c r="M50" s="615"/>
      <c r="N50" s="615"/>
      <c r="O50" s="615"/>
      <c r="P50" s="615"/>
      <c r="Q50" s="615"/>
      <c r="R50" s="615"/>
      <c r="S50" s="615"/>
      <c r="T50" s="615"/>
      <c r="U50" s="615"/>
      <c r="V50" s="615"/>
      <c r="X50" s="635"/>
      <c r="Y50" s="635"/>
      <c r="Z50" s="635"/>
      <c r="AA50" s="635"/>
      <c r="AB50" s="635"/>
      <c r="AC50" s="635"/>
      <c r="AD50" s="635"/>
    </row>
    <row r="51" customFormat="false" ht="12.75" hidden="false" customHeight="true" outlineLevel="0" collapsed="false">
      <c r="A51" s="613" t="n">
        <f aca="false">+J51-$J$13+K51/24-$K$13/24</f>
        <v>0</v>
      </c>
      <c r="B51" s="614"/>
      <c r="C51" s="615"/>
      <c r="D51" s="615"/>
      <c r="E51" s="616"/>
      <c r="F51" s="623"/>
      <c r="G51" s="624" t="str">
        <f aca="false">IF(K51="","",(B51-F51)/(H51+0.000001)*I51)</f>
        <v/>
      </c>
      <c r="H51" s="625" t="str">
        <f aca="false">IF(B51="","",(B50-B51))</f>
        <v/>
      </c>
      <c r="I51" s="626" t="str">
        <f aca="false">IF(K51="","",24*(A51-A50))</f>
        <v/>
      </c>
      <c r="J51" s="621"/>
      <c r="K51" s="622"/>
      <c r="L51" s="615"/>
      <c r="M51" s="615"/>
      <c r="N51" s="615"/>
      <c r="O51" s="615"/>
      <c r="P51" s="615"/>
      <c r="Q51" s="615"/>
      <c r="R51" s="615"/>
      <c r="S51" s="615"/>
      <c r="T51" s="615"/>
      <c r="U51" s="615"/>
      <c r="V51" s="615"/>
      <c r="X51" s="635"/>
      <c r="Y51" s="635"/>
      <c r="Z51" s="635"/>
      <c r="AA51" s="635"/>
      <c r="AB51" s="635"/>
      <c r="AC51" s="635"/>
      <c r="AD51" s="635"/>
    </row>
    <row r="52" customFormat="false" ht="15" hidden="false" customHeight="true" outlineLevel="0" collapsed="false">
      <c r="A52" s="613" t="n">
        <f aca="false">+J52-$J$13+K52/24-$K$13/24</f>
        <v>0</v>
      </c>
      <c r="B52" s="614"/>
      <c r="C52" s="615"/>
      <c r="D52" s="615"/>
      <c r="E52" s="616"/>
      <c r="F52" s="623"/>
      <c r="G52" s="624" t="str">
        <f aca="false">IF(K52="","",(B52-F52)/(H52+0.000001)*I52)</f>
        <v/>
      </c>
      <c r="H52" s="625" t="str">
        <f aca="false">IF(B52="","",(B51-B52))</f>
        <v/>
      </c>
      <c r="I52" s="626" t="str">
        <f aca="false">IF(K52="","",24*(A52-A51))</f>
        <v/>
      </c>
      <c r="J52" s="621"/>
      <c r="K52" s="622"/>
      <c r="L52" s="615"/>
      <c r="M52" s="615"/>
      <c r="N52" s="615"/>
      <c r="O52" s="615"/>
      <c r="P52" s="615"/>
      <c r="Q52" s="615"/>
      <c r="R52" s="615"/>
      <c r="S52" s="615"/>
      <c r="T52" s="615"/>
      <c r="U52" s="615"/>
      <c r="V52" s="615"/>
      <c r="X52" s="498"/>
      <c r="Y52" s="636" t="s">
        <v>242</v>
      </c>
      <c r="Z52" s="637"/>
      <c r="AA52" s="637"/>
      <c r="AB52" s="76"/>
      <c r="AC52" s="635"/>
      <c r="AD52" s="635"/>
    </row>
    <row r="53" customFormat="false" ht="15" hidden="false" customHeight="true" outlineLevel="0" collapsed="false">
      <c r="A53" s="613" t="n">
        <f aca="false">+J53-$J$13+K53/24-$K$13/24</f>
        <v>0</v>
      </c>
      <c r="B53" s="614"/>
      <c r="C53" s="615"/>
      <c r="D53" s="615"/>
      <c r="E53" s="616"/>
      <c r="F53" s="623"/>
      <c r="G53" s="624" t="str">
        <f aca="false">IF(K53="","",(B53-F53)/(H53+0.000001)*I53)</f>
        <v/>
      </c>
      <c r="H53" s="625" t="str">
        <f aca="false">IF(B53="","",(B52-B53))</f>
        <v/>
      </c>
      <c r="I53" s="626" t="str">
        <f aca="false">IF(K53="","",24*(A53-A52))</f>
        <v/>
      </c>
      <c r="J53" s="621"/>
      <c r="K53" s="622"/>
      <c r="L53" s="615"/>
      <c r="M53" s="615"/>
      <c r="N53" s="615"/>
      <c r="O53" s="615"/>
      <c r="P53" s="615"/>
      <c r="Q53" s="615"/>
      <c r="R53" s="615"/>
      <c r="S53" s="615"/>
      <c r="T53" s="615"/>
      <c r="U53" s="615"/>
      <c r="V53" s="615"/>
      <c r="X53" s="498" t="s">
        <v>243</v>
      </c>
      <c r="Y53" s="498"/>
      <c r="Z53" s="637"/>
      <c r="AA53" s="637" t="n">
        <f aca="false">'Recept-voorblad'!G7*'Recept-voorblad'!C9*100</f>
        <v>0</v>
      </c>
      <c r="AB53" s="76" t="s">
        <v>244</v>
      </c>
      <c r="AC53" s="635"/>
      <c r="AD53" s="635"/>
    </row>
    <row r="54" customFormat="false" ht="15" hidden="false" customHeight="true" outlineLevel="0" collapsed="false">
      <c r="A54" s="613" t="n">
        <f aca="false">+J54-$J$13+K54/24-$K$13/24</f>
        <v>0</v>
      </c>
      <c r="B54" s="614"/>
      <c r="C54" s="615"/>
      <c r="D54" s="615"/>
      <c r="E54" s="616"/>
      <c r="F54" s="623"/>
      <c r="G54" s="624" t="str">
        <f aca="false">IF(K54="","",(B54-F54)/(H54+0.000001)*I54)</f>
        <v/>
      </c>
      <c r="H54" s="625" t="str">
        <f aca="false">IF(B54="","",(B53-B54))</f>
        <v/>
      </c>
      <c r="I54" s="626" t="str">
        <f aca="false">IF(K54="","",24*(A54-A53))</f>
        <v/>
      </c>
      <c r="J54" s="621"/>
      <c r="K54" s="622"/>
      <c r="L54" s="615"/>
      <c r="M54" s="615"/>
      <c r="N54" s="615"/>
      <c r="O54" s="615"/>
      <c r="P54" s="615"/>
      <c r="Q54" s="615"/>
      <c r="R54" s="615"/>
      <c r="S54" s="615"/>
      <c r="T54" s="615"/>
      <c r="U54" s="615"/>
      <c r="V54" s="615"/>
      <c r="X54" s="76" t="s">
        <v>245</v>
      </c>
      <c r="Y54" s="76"/>
      <c r="Z54" s="635"/>
      <c r="AA54" s="638" t="e">
        <f aca="false">VLOOKUP("*Nagardo*",'Recept-voorblad'!A89:H93,5,FALSE())</f>
        <v>#N/A</v>
      </c>
      <c r="AB54" s="76" t="s">
        <v>246</v>
      </c>
      <c r="AC54" s="635"/>
      <c r="AD54" s="635"/>
    </row>
    <row r="55" customFormat="false" ht="15" hidden="false" customHeight="true" outlineLevel="0" collapsed="false">
      <c r="A55" s="613" t="n">
        <f aca="false">+J55-$J$13+K55/24-$K$13/24</f>
        <v>0</v>
      </c>
      <c r="B55" s="614"/>
      <c r="C55" s="615"/>
      <c r="D55" s="615"/>
      <c r="E55" s="616"/>
      <c r="F55" s="623"/>
      <c r="G55" s="624" t="str">
        <f aca="false">IF(K55="","",(B55-F55)/(H55+0.000001)*I55)</f>
        <v/>
      </c>
      <c r="H55" s="625" t="str">
        <f aca="false">IF(B55="","",(B54-B55))</f>
        <v/>
      </c>
      <c r="I55" s="626" t="str">
        <f aca="false">IF(K55="","",24*(A55-A54))</f>
        <v/>
      </c>
      <c r="J55" s="621"/>
      <c r="K55" s="622"/>
      <c r="L55" s="615"/>
      <c r="M55" s="615"/>
      <c r="N55" s="615"/>
      <c r="O55" s="615"/>
      <c r="P55" s="615"/>
      <c r="Q55" s="615"/>
      <c r="R55" s="615"/>
      <c r="S55" s="615"/>
      <c r="T55" s="615"/>
      <c r="U55" s="615"/>
      <c r="V55" s="615"/>
      <c r="X55" s="76" t="s">
        <v>247</v>
      </c>
      <c r="Y55" s="76"/>
      <c r="Z55" s="76"/>
      <c r="AA55" s="639" t="e">
        <f aca="false">AA53*AA54/1000</f>
        <v>#N/A</v>
      </c>
      <c r="AB55" s="76" t="s">
        <v>248</v>
      </c>
      <c r="AC55" s="635"/>
      <c r="AD55" s="635"/>
    </row>
    <row r="56" customFormat="false" ht="15" hidden="false" customHeight="true" outlineLevel="0" collapsed="false">
      <c r="A56" s="613" t="n">
        <f aca="false">+J56-$J$13+K56/24-$K$13/24</f>
        <v>0</v>
      </c>
      <c r="B56" s="614"/>
      <c r="C56" s="615"/>
      <c r="D56" s="615"/>
      <c r="E56" s="616"/>
      <c r="F56" s="623"/>
      <c r="G56" s="624" t="str">
        <f aca="false">IF(K56="","",(B56-F56)/(H56+0.000001)*I56)</f>
        <v/>
      </c>
      <c r="H56" s="625" t="str">
        <f aca="false">IF(B56="","",(B55-B56))</f>
        <v/>
      </c>
      <c r="I56" s="626" t="str">
        <f aca="false">IF(K56="","",24*(A56-A55))</f>
        <v/>
      </c>
      <c r="J56" s="621"/>
      <c r="K56" s="622"/>
      <c r="L56" s="615"/>
      <c r="M56" s="615"/>
      <c r="N56" s="615"/>
      <c r="O56" s="615"/>
      <c r="P56" s="615"/>
      <c r="Q56" s="615"/>
      <c r="R56" s="615"/>
      <c r="S56" s="615"/>
      <c r="T56" s="615"/>
      <c r="U56" s="615"/>
      <c r="V56" s="615"/>
      <c r="X56" s="76" t="s">
        <v>249</v>
      </c>
      <c r="Y56" s="76"/>
      <c r="Z56" s="76"/>
      <c r="AA56" s="639" t="e">
        <f aca="false">AA55/(1000*0.01)</f>
        <v>#N/A</v>
      </c>
      <c r="AB56" s="76" t="s">
        <v>244</v>
      </c>
      <c r="AC56" s="635"/>
      <c r="AD56" s="635"/>
    </row>
    <row r="57" customFormat="false" ht="15" hidden="false" customHeight="true" outlineLevel="0" collapsed="false">
      <c r="A57" s="613" t="n">
        <f aca="false">+J57-$J$13+K57/24-$K$13/24</f>
        <v>0</v>
      </c>
      <c r="B57" s="614"/>
      <c r="C57" s="615"/>
      <c r="D57" s="615"/>
      <c r="E57" s="616"/>
      <c r="F57" s="623"/>
      <c r="G57" s="624" t="str">
        <f aca="false">IF(K57="","",(B57-F57)/(H57+0.000001)*I57)</f>
        <v/>
      </c>
      <c r="H57" s="625" t="str">
        <f aca="false">IF(B57="","",(B56-B57))</f>
        <v/>
      </c>
      <c r="I57" s="626" t="str">
        <f aca="false">IF(K57="","",24*(A57-A56))</f>
        <v/>
      </c>
      <c r="J57" s="621"/>
      <c r="K57" s="622"/>
      <c r="L57" s="615"/>
      <c r="M57" s="615"/>
      <c r="N57" s="615"/>
      <c r="O57" s="615"/>
      <c r="P57" s="615"/>
      <c r="Q57" s="615"/>
      <c r="R57" s="615"/>
      <c r="S57" s="615"/>
      <c r="T57" s="615"/>
      <c r="U57" s="615"/>
      <c r="V57" s="615"/>
      <c r="X57" s="636"/>
      <c r="Y57" s="636" t="s">
        <v>250</v>
      </c>
      <c r="Z57" s="640"/>
      <c r="AA57" s="640"/>
      <c r="AB57" s="641"/>
      <c r="AC57" s="635"/>
      <c r="AD57" s="635"/>
    </row>
    <row r="58" customFormat="false" ht="15" hidden="false" customHeight="true" outlineLevel="0" collapsed="false">
      <c r="A58" s="613" t="n">
        <f aca="false">+J58-$J$13+K58/24-$K$13/24</f>
        <v>0</v>
      </c>
      <c r="B58" s="614"/>
      <c r="C58" s="615"/>
      <c r="D58" s="615"/>
      <c r="E58" s="616"/>
      <c r="F58" s="623"/>
      <c r="G58" s="624" t="str">
        <f aca="false">IF(K58="","",(B58-F58)/(H58+0.000001)*I58)</f>
        <v/>
      </c>
      <c r="H58" s="625" t="str">
        <f aca="false">IF(B58="","",(B57-B58))</f>
        <v/>
      </c>
      <c r="I58" s="626" t="str">
        <f aca="false">IF(K58="","",24*(A58-A57))</f>
        <v/>
      </c>
      <c r="J58" s="621"/>
      <c r="K58" s="622"/>
      <c r="L58" s="615"/>
      <c r="M58" s="615"/>
      <c r="N58" s="615"/>
      <c r="O58" s="615"/>
      <c r="P58" s="615"/>
      <c r="Q58" s="615"/>
      <c r="R58" s="615"/>
      <c r="S58" s="615"/>
      <c r="T58" s="615"/>
      <c r="U58" s="615"/>
      <c r="V58" s="615"/>
      <c r="X58" s="498" t="s">
        <v>251</v>
      </c>
      <c r="Y58" s="498"/>
      <c r="Z58" s="637"/>
      <c r="AA58" s="637" t="n">
        <f aca="false">AA60*0.02*1000</f>
        <v>0</v>
      </c>
      <c r="AB58" s="76" t="s">
        <v>248</v>
      </c>
    </row>
    <row r="59" customFormat="false" ht="15" hidden="false" customHeight="true" outlineLevel="0" collapsed="false">
      <c r="A59" s="613" t="n">
        <f aca="false">+J59-$J$13+K59/24-$K$13/24</f>
        <v>0</v>
      </c>
      <c r="B59" s="614"/>
      <c r="C59" s="615"/>
      <c r="D59" s="615"/>
      <c r="E59" s="616"/>
      <c r="F59" s="623"/>
      <c r="G59" s="624" t="str">
        <f aca="false">IF(K59="","",(B59-F59)/(H59+0.000001)*I59)</f>
        <v/>
      </c>
      <c r="H59" s="625" t="str">
        <f aca="false">IF(B59="","",(B58-B59))</f>
        <v/>
      </c>
      <c r="I59" s="626" t="str">
        <f aca="false">IF(K59="","",24*(A59-A58))</f>
        <v/>
      </c>
      <c r="J59" s="621"/>
      <c r="K59" s="622"/>
      <c r="L59" s="615"/>
      <c r="M59" s="615"/>
      <c r="N59" s="615"/>
      <c r="O59" s="615"/>
      <c r="P59" s="615"/>
      <c r="Q59" s="615"/>
      <c r="R59" s="615"/>
      <c r="S59" s="615"/>
      <c r="T59" s="615"/>
      <c r="U59" s="615"/>
      <c r="V59" s="615"/>
      <c r="X59" s="498" t="s">
        <v>252</v>
      </c>
      <c r="Y59" s="498"/>
      <c r="Z59" s="637"/>
      <c r="AA59" s="637" t="n">
        <f aca="false">AA60</f>
        <v>0</v>
      </c>
      <c r="AB59" s="76" t="s">
        <v>244</v>
      </c>
    </row>
    <row r="60" customFormat="false" ht="15" hidden="false" customHeight="true" outlineLevel="0" collapsed="false">
      <c r="A60" s="613" t="n">
        <f aca="false">+J60-$J$13+K60/24-$K$13/24</f>
        <v>0</v>
      </c>
      <c r="B60" s="614"/>
      <c r="C60" s="615"/>
      <c r="D60" s="615"/>
      <c r="E60" s="616"/>
      <c r="F60" s="623"/>
      <c r="G60" s="624" t="str">
        <f aca="false">IF(K60="","",(B60-F60)/(H60+0.000001)*I60)</f>
        <v/>
      </c>
      <c r="H60" s="625" t="str">
        <f aca="false">IF(B60="","",(B59-B60))</f>
        <v/>
      </c>
      <c r="I60" s="626" t="str">
        <f aca="false">IF(K60="","",24*(A60-A59))</f>
        <v/>
      </c>
      <c r="J60" s="621"/>
      <c r="K60" s="622"/>
      <c r="L60" s="615"/>
      <c r="M60" s="615"/>
      <c r="N60" s="615"/>
      <c r="O60" s="615"/>
      <c r="P60" s="615"/>
      <c r="Q60" s="615"/>
      <c r="R60" s="615"/>
      <c r="S60" s="615"/>
      <c r="T60" s="615"/>
      <c r="U60" s="615"/>
      <c r="V60" s="615"/>
      <c r="X60" s="498" t="s">
        <v>253</v>
      </c>
      <c r="Y60" s="498"/>
      <c r="Z60" s="637"/>
      <c r="AA60" s="637" t="n">
        <f aca="false">'Recept-voorblad'!E90*(AA53/100)</f>
        <v>0</v>
      </c>
      <c r="AB60" s="76" t="s">
        <v>244</v>
      </c>
    </row>
    <row r="61" customFormat="false" ht="12.75" hidden="false" customHeight="true" outlineLevel="0" collapsed="false">
      <c r="A61" s="613" t="n">
        <f aca="false">+J61-$J$13+K61/24-$K$13/24</f>
        <v>0</v>
      </c>
      <c r="B61" s="614"/>
      <c r="C61" s="615"/>
      <c r="D61" s="615"/>
      <c r="E61" s="616"/>
      <c r="F61" s="623"/>
      <c r="G61" s="624" t="str">
        <f aca="false">IF(K61="","",(B61-F61)/(H61+0.000001)*I61)</f>
        <v/>
      </c>
      <c r="H61" s="625" t="str">
        <f aca="false">IF(B61="","",(B60-B61))</f>
        <v/>
      </c>
      <c r="I61" s="626" t="str">
        <f aca="false">IF(K61="","",24*(A61-A60))</f>
        <v/>
      </c>
      <c r="J61" s="621"/>
      <c r="K61" s="622"/>
      <c r="L61" s="615"/>
      <c r="M61" s="615"/>
      <c r="N61" s="615"/>
      <c r="O61" s="615"/>
      <c r="P61" s="615"/>
      <c r="Q61" s="615"/>
      <c r="R61" s="615"/>
      <c r="S61" s="615"/>
      <c r="T61" s="615"/>
      <c r="U61" s="615"/>
      <c r="V61" s="615"/>
    </row>
    <row r="62" customFormat="false" ht="12.75" hidden="false" customHeight="true" outlineLevel="0" collapsed="false">
      <c r="A62" s="613" t="n">
        <f aca="false">+J62-$J$13+K62/24-$K$13/24</f>
        <v>0</v>
      </c>
      <c r="B62" s="614"/>
      <c r="C62" s="615"/>
      <c r="D62" s="615"/>
      <c r="E62" s="616"/>
      <c r="F62" s="623"/>
      <c r="G62" s="624" t="str">
        <f aca="false">IF(K62="","",(B62-F62)/(H62+0.000001)*I62)</f>
        <v/>
      </c>
      <c r="H62" s="625" t="str">
        <f aca="false">IF(B62="","",(B61-B62))</f>
        <v/>
      </c>
      <c r="I62" s="626" t="str">
        <f aca="false">IF(K62="","",24*(A62-A61))</f>
        <v/>
      </c>
      <c r="J62" s="621"/>
      <c r="K62" s="622"/>
      <c r="L62" s="615"/>
      <c r="M62" s="615"/>
      <c r="N62" s="615"/>
      <c r="O62" s="615"/>
      <c r="P62" s="615"/>
      <c r="Q62" s="615"/>
      <c r="R62" s="615"/>
      <c r="S62" s="615"/>
      <c r="T62" s="615"/>
      <c r="U62" s="615"/>
      <c r="V62" s="615"/>
    </row>
    <row r="63" customFormat="false" ht="12.75" hidden="false" customHeight="true" outlineLevel="0" collapsed="false">
      <c r="A63" s="613" t="n">
        <f aca="false">+J63-$J$13+K63/24-$K$13/24</f>
        <v>0</v>
      </c>
      <c r="B63" s="614"/>
      <c r="C63" s="615"/>
      <c r="D63" s="615"/>
      <c r="E63" s="616"/>
      <c r="F63" s="642"/>
      <c r="G63" s="643" t="str">
        <f aca="false">IF(K63="","",(B63-F63)/(H63+0.000001)*I63)</f>
        <v/>
      </c>
      <c r="H63" s="625" t="str">
        <f aca="false">IF(B63="","",(B62-B63))</f>
        <v/>
      </c>
      <c r="I63" s="626" t="str">
        <f aca="false">IF(K63="","",24*(A63-A62))</f>
        <v/>
      </c>
      <c r="J63" s="621"/>
      <c r="K63" s="622"/>
      <c r="L63" s="615"/>
      <c r="M63" s="615"/>
      <c r="N63" s="615"/>
      <c r="O63" s="615"/>
      <c r="P63" s="615"/>
      <c r="Q63" s="615"/>
      <c r="R63" s="615"/>
      <c r="S63" s="615"/>
      <c r="T63" s="615"/>
      <c r="U63" s="615"/>
      <c r="V63" s="615"/>
    </row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3.5" hidden="false" customHeight="true" outlineLevel="0" collapsed="false"/>
    <row r="67" customFormat="false" ht="15.75" hidden="false" customHeight="true" outlineLevel="0" collapsed="false">
      <c r="B67" s="644" t="s">
        <v>254</v>
      </c>
      <c r="C67" s="644"/>
      <c r="D67" s="644"/>
      <c r="H67" s="645" t="s">
        <v>255</v>
      </c>
      <c r="I67" s="645"/>
      <c r="J67" s="645"/>
      <c r="K67" s="645"/>
      <c r="L67" s="645"/>
      <c r="M67" s="76"/>
      <c r="N67" s="76"/>
      <c r="O67" s="76" t="s">
        <v>256</v>
      </c>
      <c r="P67" s="76"/>
      <c r="Q67" s="76"/>
    </row>
    <row r="68" customFormat="false" ht="15.75" hidden="false" customHeight="true" outlineLevel="0" collapsed="false">
      <c r="B68" s="644" t="s">
        <v>257</v>
      </c>
      <c r="C68" s="644"/>
      <c r="D68" s="644"/>
      <c r="H68" s="646"/>
      <c r="I68" s="647" t="s">
        <v>258</v>
      </c>
      <c r="J68" s="647"/>
      <c r="K68" s="648" t="s">
        <v>259</v>
      </c>
      <c r="L68" s="648"/>
      <c r="M68" s="76"/>
      <c r="N68" s="76"/>
      <c r="O68" s="76" t="s">
        <v>260</v>
      </c>
      <c r="P68" s="76" t="s">
        <v>261</v>
      </c>
      <c r="Q68" s="76"/>
    </row>
    <row r="69" customFormat="false" ht="15" hidden="false" customHeight="true" outlineLevel="0" collapsed="false">
      <c r="B69" s="649" t="s">
        <v>262</v>
      </c>
      <c r="C69" s="650"/>
      <c r="D69" s="651" t="s">
        <v>16</v>
      </c>
      <c r="H69" s="646" t="s">
        <v>263</v>
      </c>
      <c r="I69" s="652" t="n">
        <v>0</v>
      </c>
      <c r="J69" s="648" t="s">
        <v>264</v>
      </c>
      <c r="K69" s="653"/>
      <c r="L69" s="654" t="s">
        <v>57</v>
      </c>
      <c r="M69" s="76"/>
      <c r="N69" s="76"/>
      <c r="O69" s="76" t="s">
        <v>265</v>
      </c>
      <c r="P69" s="76" t="s">
        <v>266</v>
      </c>
      <c r="Q69" s="76"/>
    </row>
    <row r="70" customFormat="false" ht="15" hidden="false" customHeight="true" outlineLevel="0" collapsed="false">
      <c r="B70" s="649" t="s">
        <v>267</v>
      </c>
      <c r="C70" s="650"/>
      <c r="D70" s="651" t="s">
        <v>111</v>
      </c>
      <c r="H70" s="655" t="s">
        <v>268</v>
      </c>
      <c r="I70" s="656"/>
      <c r="J70" s="657" t="s">
        <v>264</v>
      </c>
      <c r="K70" s="658"/>
      <c r="L70" s="659" t="s">
        <v>57</v>
      </c>
      <c r="M70" s="76"/>
      <c r="N70" s="76"/>
      <c r="O70" s="76" t="s">
        <v>269</v>
      </c>
      <c r="P70" s="76" t="s">
        <v>270</v>
      </c>
      <c r="Q70" s="76"/>
    </row>
    <row r="71" customFormat="false" ht="15.75" hidden="false" customHeight="true" outlineLevel="0" collapsed="false">
      <c r="B71" s="660" t="s">
        <v>271</v>
      </c>
      <c r="C71" s="661" t="n">
        <v>7.5</v>
      </c>
      <c r="D71" s="662" t="s">
        <v>16</v>
      </c>
      <c r="H71" s="655" t="s">
        <v>268</v>
      </c>
      <c r="I71" s="656"/>
      <c r="J71" s="657" t="s">
        <v>264</v>
      </c>
      <c r="K71" s="658"/>
      <c r="L71" s="659" t="s">
        <v>57</v>
      </c>
      <c r="M71" s="76"/>
      <c r="N71" s="76"/>
      <c r="O71" s="76" t="s">
        <v>272</v>
      </c>
      <c r="P71" s="76" t="s">
        <v>273</v>
      </c>
      <c r="Q71" s="76"/>
    </row>
    <row r="72" customFormat="false" ht="15.75" hidden="false" customHeight="true" outlineLevel="0" collapsed="false">
      <c r="B72" s="663"/>
      <c r="C72" s="245"/>
      <c r="D72" s="664"/>
      <c r="H72" s="655" t="s">
        <v>268</v>
      </c>
      <c r="I72" s="656"/>
      <c r="J72" s="657" t="s">
        <v>264</v>
      </c>
      <c r="K72" s="658"/>
      <c r="L72" s="659" t="s">
        <v>57</v>
      </c>
      <c r="M72" s="76"/>
      <c r="N72" s="76"/>
      <c r="O72" s="76" t="s">
        <v>274</v>
      </c>
      <c r="P72" s="76" t="s">
        <v>275</v>
      </c>
      <c r="Q72" s="76"/>
    </row>
    <row r="73" customFormat="false" ht="15.75" hidden="false" customHeight="true" outlineLevel="0" collapsed="false">
      <c r="B73" s="665" t="s">
        <v>276</v>
      </c>
      <c r="C73" s="666" t="n">
        <f aca="false">C70-((C69*C70)/C71)</f>
        <v>0</v>
      </c>
      <c r="D73" s="651" t="s">
        <v>111</v>
      </c>
      <c r="H73" s="655" t="s">
        <v>268</v>
      </c>
      <c r="I73" s="656"/>
      <c r="J73" s="657" t="s">
        <v>264</v>
      </c>
      <c r="K73" s="658"/>
      <c r="L73" s="659" t="s">
        <v>57</v>
      </c>
      <c r="M73" s="76"/>
      <c r="N73" s="76"/>
      <c r="O73" s="76" t="s">
        <v>277</v>
      </c>
      <c r="P73" s="76" t="s">
        <v>278</v>
      </c>
      <c r="Q73" s="76"/>
    </row>
    <row r="74" customFormat="false" ht="16.5" hidden="false" customHeight="true" outlineLevel="0" collapsed="false">
      <c r="H74" s="667" t="s">
        <v>279</v>
      </c>
      <c r="I74" s="668"/>
      <c r="J74" s="668"/>
      <c r="K74" s="669" t="n">
        <v>0.5</v>
      </c>
      <c r="L74" s="670" t="s">
        <v>57</v>
      </c>
      <c r="M74" s="76"/>
      <c r="N74" s="76"/>
      <c r="O74" s="76" t="s">
        <v>280</v>
      </c>
      <c r="P74" s="76" t="s">
        <v>281</v>
      </c>
      <c r="Q74" s="76"/>
    </row>
    <row r="75" customFormat="false" ht="15.75" hidden="false" customHeight="true" outlineLevel="0" collapsed="false">
      <c r="H75" s="671" t="s">
        <v>282</v>
      </c>
      <c r="I75" s="672" t="e">
        <f aca="false" t="array" ref="I75:J75">IF(K71="",LINEST(LN(K69:K70),I69:I70),IF(K72="",LINEST(LN(K69:K71),I69:I71),IF(K73="",LINEST(LN(K69:K72),I69:I72),LINEST(LN(K69:K73),I69:I73))))</f>
        <v>#VALUE!</v>
      </c>
      <c r="J75" s="673" t="e">
        <v>#VALUE!</v>
      </c>
      <c r="K75" s="674" t="e">
        <f aca="false">EXP(J75)</f>
        <v>#VALUE!</v>
      </c>
      <c r="L75" s="675" t="e">
        <f aca="false">LN(K74/K75)/I75</f>
        <v>#VALUE!</v>
      </c>
      <c r="M75" s="76"/>
      <c r="N75" s="76"/>
      <c r="O75" s="76" t="s">
        <v>283</v>
      </c>
      <c r="P75" s="76" t="s">
        <v>284</v>
      </c>
      <c r="Q75" s="76"/>
    </row>
    <row r="76" customFormat="false" ht="15.75" hidden="false" customHeight="true" outlineLevel="0" collapsed="false">
      <c r="H76" s="676"/>
      <c r="I76" s="677"/>
      <c r="J76" s="677"/>
      <c r="K76" s="676"/>
      <c r="L76" s="676"/>
      <c r="M76" s="76"/>
      <c r="N76" s="76"/>
      <c r="O76" s="76"/>
      <c r="P76" s="76"/>
      <c r="Q76" s="76"/>
    </row>
    <row r="77" customFormat="false" ht="15.75" hidden="false" customHeight="true" outlineLevel="0" collapsed="false">
      <c r="H77" s="678" t="s">
        <v>285</v>
      </c>
      <c r="I77" s="679"/>
      <c r="J77" s="680"/>
      <c r="K77" s="681" t="e">
        <f aca="false">LN(K74/K75)/I75</f>
        <v>#VALUE!</v>
      </c>
      <c r="L77" s="682" t="s">
        <v>111</v>
      </c>
      <c r="M77" s="76"/>
      <c r="N77" s="76"/>
      <c r="O77" s="76"/>
      <c r="P77" s="76"/>
      <c r="Q77" s="76"/>
    </row>
    <row r="78" customFormat="false" ht="15.75" hidden="false" customHeight="true" outlineLevel="0" collapsed="false">
      <c r="H78" s="676"/>
      <c r="I78" s="677"/>
      <c r="J78" s="677"/>
      <c r="K78" s="676"/>
      <c r="L78" s="676"/>
      <c r="M78" s="76"/>
      <c r="N78" s="76"/>
      <c r="O78" s="76"/>
      <c r="P78" s="76"/>
      <c r="Q78" s="76"/>
    </row>
    <row r="79" customFormat="false" ht="15" hidden="false" customHeight="true" outlineLevel="0" collapsed="false">
      <c r="H79" s="683" t="s">
        <v>286</v>
      </c>
      <c r="I79" s="683"/>
      <c r="J79" s="683"/>
      <c r="K79" s="684"/>
      <c r="L79" s="685" t="s">
        <v>111</v>
      </c>
      <c r="M79" s="76"/>
      <c r="N79" s="76"/>
      <c r="O79" s="76"/>
      <c r="P79" s="76"/>
      <c r="Q79" s="76"/>
    </row>
    <row r="80" customFormat="false" ht="15" hidden="false" customHeight="true" outlineLevel="0" collapsed="false">
      <c r="H80" s="686" t="s">
        <v>287</v>
      </c>
      <c r="I80" s="686"/>
      <c r="J80" s="686"/>
      <c r="K80" s="687"/>
      <c r="L80" s="688" t="s">
        <v>288</v>
      </c>
      <c r="M80" s="76"/>
      <c r="N80" s="76"/>
      <c r="O80" s="76"/>
      <c r="P80" s="76"/>
      <c r="Q80" s="76"/>
    </row>
    <row r="81" customFormat="false" ht="15" hidden="false" customHeight="true" outlineLevel="0" collapsed="false">
      <c r="H81" s="686" t="s">
        <v>289</v>
      </c>
      <c r="I81" s="686"/>
      <c r="J81" s="686"/>
      <c r="K81" s="689" t="e">
        <f aca="false">K75*(EXP(1)^(I75*K79))</f>
        <v>#VALUE!</v>
      </c>
      <c r="L81" s="688" t="s">
        <v>57</v>
      </c>
      <c r="M81" s="76"/>
      <c r="N81" s="76"/>
      <c r="O81" s="76"/>
      <c r="P81" s="76"/>
      <c r="Q81" s="76"/>
    </row>
    <row r="82" customFormat="false" ht="15" hidden="false" customHeight="true" outlineLevel="0" collapsed="false">
      <c r="H82" s="686" t="s">
        <v>290</v>
      </c>
      <c r="I82" s="686"/>
      <c r="J82" s="686"/>
      <c r="K82" s="690" t="e">
        <f aca="false">K77-K80</f>
        <v>#VALUE!</v>
      </c>
      <c r="L82" s="688" t="s">
        <v>111</v>
      </c>
      <c r="M82" s="76"/>
      <c r="N82" s="76"/>
      <c r="O82" s="76"/>
      <c r="P82" s="76"/>
      <c r="Q82" s="76"/>
    </row>
    <row r="83" customFormat="false" ht="15" hidden="false" customHeight="true" outlineLevel="0" collapsed="false">
      <c r="H83" s="686" t="s">
        <v>291</v>
      </c>
      <c r="I83" s="686"/>
      <c r="J83" s="686"/>
      <c r="K83" s="689" t="e">
        <f aca="false">K82/K80</f>
        <v>#VALUE!</v>
      </c>
      <c r="L83" s="688" t="s">
        <v>292</v>
      </c>
      <c r="M83" s="76"/>
      <c r="N83" s="76"/>
      <c r="O83" s="76"/>
      <c r="P83" s="76"/>
      <c r="Q83" s="76"/>
    </row>
    <row r="84" customFormat="false" ht="15.75" hidden="false" customHeight="true" outlineLevel="0" collapsed="false">
      <c r="H84" s="691" t="s">
        <v>293</v>
      </c>
      <c r="I84" s="691"/>
      <c r="J84" s="691"/>
      <c r="K84" s="692" t="e">
        <f aca="true">NOW()+(K83/24)</f>
        <v>#VALUE!</v>
      </c>
      <c r="L84" s="692"/>
      <c r="M84" s="76"/>
      <c r="N84" s="76"/>
      <c r="O84" s="76"/>
      <c r="P84" s="76"/>
      <c r="Q84" s="76"/>
    </row>
    <row r="85" customFormat="false" ht="15" hidden="false" customHeight="true" outlineLevel="0" collapsed="false"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</row>
    <row r="86" customFormat="false" ht="15" hidden="false" customHeight="true" outlineLevel="0" collapsed="false"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</row>
  </sheetData>
  <mergeCells count="211">
    <mergeCell ref="K1:V1"/>
    <mergeCell ref="A2:C3"/>
    <mergeCell ref="D2:D3"/>
    <mergeCell ref="E2:E3"/>
    <mergeCell ref="H2:H3"/>
    <mergeCell ref="K2:M2"/>
    <mergeCell ref="Q2:R2"/>
    <mergeCell ref="U2:V2"/>
    <mergeCell ref="X2:AD2"/>
    <mergeCell ref="K3:M3"/>
    <mergeCell ref="X3:AD3"/>
    <mergeCell ref="A4:C5"/>
    <mergeCell ref="D4:D5"/>
    <mergeCell ref="E4:E5"/>
    <mergeCell ref="H4:H5"/>
    <mergeCell ref="K4:M4"/>
    <mergeCell ref="X4:AD5"/>
    <mergeCell ref="K5:M5"/>
    <mergeCell ref="A6:C6"/>
    <mergeCell ref="D6:E6"/>
    <mergeCell ref="K6:M6"/>
    <mergeCell ref="X6:AD6"/>
    <mergeCell ref="K7:M7"/>
    <mergeCell ref="X7:AD8"/>
    <mergeCell ref="B8:C8"/>
    <mergeCell ref="D8:E8"/>
    <mergeCell ref="K8:M8"/>
    <mergeCell ref="Q8:V8"/>
    <mergeCell ref="B9:C10"/>
    <mergeCell ref="D9:E10"/>
    <mergeCell ref="K9:M9"/>
    <mergeCell ref="Q9:R9"/>
    <mergeCell ref="U9:V9"/>
    <mergeCell ref="X9:AD9"/>
    <mergeCell ref="K10:M10"/>
    <mergeCell ref="X10:AD10"/>
    <mergeCell ref="X11:AD11"/>
    <mergeCell ref="H12:H13"/>
    <mergeCell ref="I12:I13"/>
    <mergeCell ref="L12:N12"/>
    <mergeCell ref="O12:T12"/>
    <mergeCell ref="U12:V12"/>
    <mergeCell ref="X12:AD12"/>
    <mergeCell ref="L13:N13"/>
    <mergeCell ref="O13:T13"/>
    <mergeCell ref="U13:V13"/>
    <mergeCell ref="X13:AD13"/>
    <mergeCell ref="L14:N14"/>
    <mergeCell ref="O14:T14"/>
    <mergeCell ref="U14:V14"/>
    <mergeCell ref="L15:N15"/>
    <mergeCell ref="O15:T15"/>
    <mergeCell ref="U15:V15"/>
    <mergeCell ref="L16:N16"/>
    <mergeCell ref="O16:T16"/>
    <mergeCell ref="U16:V16"/>
    <mergeCell ref="L17:N17"/>
    <mergeCell ref="O17:T17"/>
    <mergeCell ref="U17:V17"/>
    <mergeCell ref="L18:N18"/>
    <mergeCell ref="O18:T18"/>
    <mergeCell ref="U18:V18"/>
    <mergeCell ref="L19:N19"/>
    <mergeCell ref="O19:T19"/>
    <mergeCell ref="U19:V19"/>
    <mergeCell ref="L20:N20"/>
    <mergeCell ref="O20:T20"/>
    <mergeCell ref="U20:V20"/>
    <mergeCell ref="L21:N21"/>
    <mergeCell ref="O21:T21"/>
    <mergeCell ref="U21:V21"/>
    <mergeCell ref="L22:N22"/>
    <mergeCell ref="O22:T22"/>
    <mergeCell ref="U22:V22"/>
    <mergeCell ref="L23:N23"/>
    <mergeCell ref="O23:T23"/>
    <mergeCell ref="U23:V23"/>
    <mergeCell ref="L24:N24"/>
    <mergeCell ref="O24:T24"/>
    <mergeCell ref="U24:V24"/>
    <mergeCell ref="L25:N25"/>
    <mergeCell ref="O25:T25"/>
    <mergeCell ref="U25:V25"/>
    <mergeCell ref="L26:N26"/>
    <mergeCell ref="O26:T26"/>
    <mergeCell ref="U26:V26"/>
    <mergeCell ref="L27:N27"/>
    <mergeCell ref="O27:T27"/>
    <mergeCell ref="U27:V27"/>
    <mergeCell ref="L28:N28"/>
    <mergeCell ref="O28:T28"/>
    <mergeCell ref="U28:V28"/>
    <mergeCell ref="L29:N29"/>
    <mergeCell ref="O29:T29"/>
    <mergeCell ref="U29:V29"/>
    <mergeCell ref="L30:N30"/>
    <mergeCell ref="O30:T30"/>
    <mergeCell ref="U30:V30"/>
    <mergeCell ref="L31:N31"/>
    <mergeCell ref="O31:T31"/>
    <mergeCell ref="U31:V31"/>
    <mergeCell ref="L32:N32"/>
    <mergeCell ref="O32:T32"/>
    <mergeCell ref="U32:V32"/>
    <mergeCell ref="L33:N33"/>
    <mergeCell ref="O33:T33"/>
    <mergeCell ref="U33:V33"/>
    <mergeCell ref="L34:N34"/>
    <mergeCell ref="O34:T34"/>
    <mergeCell ref="U34:V34"/>
    <mergeCell ref="L35:N35"/>
    <mergeCell ref="O35:T35"/>
    <mergeCell ref="U35:V35"/>
    <mergeCell ref="L36:N36"/>
    <mergeCell ref="O36:T36"/>
    <mergeCell ref="U36:V36"/>
    <mergeCell ref="L37:N37"/>
    <mergeCell ref="O37:T37"/>
    <mergeCell ref="U37:V37"/>
    <mergeCell ref="L38:N38"/>
    <mergeCell ref="O38:T38"/>
    <mergeCell ref="U38:V38"/>
    <mergeCell ref="L39:N39"/>
    <mergeCell ref="O39:T39"/>
    <mergeCell ref="U39:V39"/>
    <mergeCell ref="L40:N40"/>
    <mergeCell ref="O40:T40"/>
    <mergeCell ref="U40:V40"/>
    <mergeCell ref="L41:N41"/>
    <mergeCell ref="O41:T41"/>
    <mergeCell ref="U41:V41"/>
    <mergeCell ref="L42:N42"/>
    <mergeCell ref="O42:T42"/>
    <mergeCell ref="U42:V42"/>
    <mergeCell ref="L43:N43"/>
    <mergeCell ref="O43:T43"/>
    <mergeCell ref="U43:V43"/>
    <mergeCell ref="L44:N44"/>
    <mergeCell ref="O44:T44"/>
    <mergeCell ref="U44:V44"/>
    <mergeCell ref="L45:N45"/>
    <mergeCell ref="O45:T45"/>
    <mergeCell ref="U45:V45"/>
    <mergeCell ref="L46:N46"/>
    <mergeCell ref="O46:T46"/>
    <mergeCell ref="U46:V46"/>
    <mergeCell ref="L47:N47"/>
    <mergeCell ref="O47:T47"/>
    <mergeCell ref="U47:V47"/>
    <mergeCell ref="L48:N48"/>
    <mergeCell ref="O48:T48"/>
    <mergeCell ref="U48:V48"/>
    <mergeCell ref="L49:N49"/>
    <mergeCell ref="O49:T49"/>
    <mergeCell ref="U49:V49"/>
    <mergeCell ref="L50:N50"/>
    <mergeCell ref="O50:T50"/>
    <mergeCell ref="U50:V50"/>
    <mergeCell ref="L51:N51"/>
    <mergeCell ref="O51:T51"/>
    <mergeCell ref="U51:V51"/>
    <mergeCell ref="L52:N52"/>
    <mergeCell ref="O52:T52"/>
    <mergeCell ref="U52:V52"/>
    <mergeCell ref="L53:N53"/>
    <mergeCell ref="O53:T53"/>
    <mergeCell ref="U53:V53"/>
    <mergeCell ref="L54:N54"/>
    <mergeCell ref="O54:T54"/>
    <mergeCell ref="U54:V54"/>
    <mergeCell ref="L55:N55"/>
    <mergeCell ref="O55:T55"/>
    <mergeCell ref="U55:V55"/>
    <mergeCell ref="L56:N56"/>
    <mergeCell ref="O56:T56"/>
    <mergeCell ref="U56:V56"/>
    <mergeCell ref="L57:N57"/>
    <mergeCell ref="O57:T57"/>
    <mergeCell ref="U57:V57"/>
    <mergeCell ref="L58:N58"/>
    <mergeCell ref="O58:T58"/>
    <mergeCell ref="U58:V58"/>
    <mergeCell ref="L59:N59"/>
    <mergeCell ref="O59:T59"/>
    <mergeCell ref="U59:V59"/>
    <mergeCell ref="L60:N60"/>
    <mergeCell ref="O60:T60"/>
    <mergeCell ref="U60:V60"/>
    <mergeCell ref="L61:N61"/>
    <mergeCell ref="O61:T61"/>
    <mergeCell ref="U61:V61"/>
    <mergeCell ref="L62:N62"/>
    <mergeCell ref="O62:T62"/>
    <mergeCell ref="U62:V62"/>
    <mergeCell ref="L63:N63"/>
    <mergeCell ref="O63:T63"/>
    <mergeCell ref="U63:V63"/>
    <mergeCell ref="B67:D67"/>
    <mergeCell ref="H67:L67"/>
    <mergeCell ref="B68:D68"/>
    <mergeCell ref="I68:J68"/>
    <mergeCell ref="I74:J74"/>
    <mergeCell ref="I76:J76"/>
    <mergeCell ref="I78:J78"/>
    <mergeCell ref="H79:J79"/>
    <mergeCell ref="H80:J80"/>
    <mergeCell ref="H81:J81"/>
    <mergeCell ref="H82:J82"/>
    <mergeCell ref="H83:J83"/>
    <mergeCell ref="H84:J84"/>
    <mergeCell ref="K84:L84"/>
  </mergeCells>
  <conditionalFormatting sqref="O28:T28">
    <cfRule type="expression" priority="2" aboveAverage="0" equalAverage="0" bottom="0" percent="0" rank="0" text="" dxfId="17">
      <formula>LEN(TRIM(O28))&gt;0</formula>
    </cfRule>
  </conditionalFormatting>
  <conditionalFormatting sqref="D9">
    <cfRule type="containsText" priority="3" operator="containsText" aboveAverage="0" equalAverage="0" bottom="0" percent="0" rank="0" text="Te verbeteren" dxfId="10">
      <formula>NOT(ISERROR(SEARCH("Te verbeteren",D9)))</formula>
    </cfRule>
    <cfRule type="containsText" priority="4" operator="containsText" aboveAverage="0" equalAverage="0" bottom="0" percent="0" rank="0" text="Standaard" dxfId="11">
      <formula>NOT(ISERROR(SEARCH("Standaard",D9)))</formula>
    </cfRule>
    <cfRule type="containsText" priority="5" operator="containsText" aboveAverage="0" equalAverage="0" bottom="0" percent="0" rank="0" text="NPI" dxfId="12">
      <formula>NOT(ISERROR(SEARCH("NPI",D9)))</formula>
    </cfRule>
    <cfRule type="containsText" priority="6" operator="containsText" aboveAverage="0" equalAverage="0" bottom="0" percent="0" rank="0" text="Gevaarlijk" dxfId="12">
      <formula>NOT(ISERROR(SEARCH("Gevaarlijk",D9)))</formula>
    </cfRule>
    <cfRule type="containsText" priority="7" operator="containsText" aboveAverage="0" equalAverage="0" bottom="0" percent="0" rank="0" text="Standaard" dxfId="11">
      <formula>NOT(ISERROR(SEARCH("Standaard",D9)))</formula>
    </cfRule>
    <cfRule type="containsText" priority="8" operator="containsText" aboveAverage="0" equalAverage="0" bottom="0" percent="0" rank="0" text="Gevoelig" dxfId="10">
      <formula>NOT(ISERROR(SEARCH("Gevoelig",D9)))</formula>
    </cfRule>
  </conditionalFormatting>
  <conditionalFormatting sqref="B9">
    <cfRule type="containsText" priority="9" operator="containsText" aboveAverage="0" equalAverage="0" bottom="0" percent="0" rank="0" text="Gevaarlijk" dxfId="18">
      <formula>NOT(ISERROR(SEARCH("Gevaarlijk",B9)))</formula>
    </cfRule>
    <cfRule type="containsText" priority="10" operator="containsText" aboveAverage="0" equalAverage="0" bottom="0" percent="0" rank="0" text="Standaard" dxfId="11">
      <formula>NOT(ISERROR(SEARCH("Standaard",B9)))</formula>
    </cfRule>
    <cfRule type="containsText" priority="11" operator="containsText" aboveAverage="0" equalAverage="0" bottom="0" percent="0" rank="0" text="Gevoelig" dxfId="10">
      <formula>NOT(ISERROR(SEARCH("Gevoelig",B9)))</formula>
    </cfRule>
  </conditionalFormatting>
  <conditionalFormatting sqref="E13">
    <cfRule type="expression" priority="12" aboveAverage="0" equalAverage="0" bottom="0" percent="0" rank="0" text="" dxfId="14">
      <formula>LEN(TRIM(E13))=0</formula>
    </cfRule>
  </conditionalFormatting>
  <conditionalFormatting sqref="A12:A63">
    <cfRule type="cellIs" priority="13" operator="lessThan" aboveAverage="0" equalAverage="0" bottom="0" percent="0" rank="0" text="" dxfId="19">
      <formula>0</formula>
    </cfRule>
  </conditionalFormatting>
  <conditionalFormatting sqref="G14:G63">
    <cfRule type="cellIs" priority="14" operator="between" aboveAverage="0" equalAverage="0" bottom="0" percent="0" rank="0" text="" dxfId="20">
      <formula>0</formula>
      <formula>48</formula>
    </cfRule>
    <cfRule type="cellIs" priority="15" operator="lessThan" aboveAverage="0" equalAverage="0" bottom="0" percent="0" rank="0" text="" dxfId="21">
      <formula>0</formula>
    </cfRule>
  </conditionalFormatting>
  <conditionalFormatting sqref="B13">
    <cfRule type="expression" priority="16" aboveAverage="0" equalAverage="0" bottom="0" percent="0" rank="0" text="" dxfId="14">
      <formula>LEN(TRIM(B13))=0</formula>
    </cfRule>
    <cfRule type="cellIs" priority="17" operator="notBetween" aboveAverage="0" equalAverage="0" bottom="0" percent="0" rank="0" text="" dxfId="12">
      <formula>$O$3+0.5</formula>
      <formula>$O$3-0.5</formula>
    </cfRule>
  </conditionalFormatting>
  <conditionalFormatting sqref="T10">
    <cfRule type="cellIs" priority="18" operator="notBetween" aboveAverage="0" equalAverage="0" bottom="0" percent="0" rank="0" text="" dxfId="12">
      <formula>$T$7+$U$7</formula>
      <formula>$T$7-$U$7</formula>
    </cfRule>
  </conditionalFormatting>
  <dataValidations count="2">
    <dataValidation allowBlank="true" errorStyle="stop" operator="between" showDropDown="false" showErrorMessage="true" showInputMessage="true" sqref="L14:N63" type="list">
      <formula1>"24h purge,purge,purge,spond,purge,dry warm,spond,proeven,proeven,purge,koelen,toevoeging,pomp start,pomp stop,overdrukken,verwerken,sample naar lab,purge,verwerken,samenvoegen,dryhopping,anders"</formula1>
      <formula2>0</formula2>
    </dataValidation>
    <dataValidation allowBlank="true" errorStyle="stop" operator="between" showDropDown="false" showErrorMessage="true" showInputMessage="true" sqref="L13:N13" type="list">
      <formula1>"24h purge,purge,purge,spond,purge,dry warm,spond,proeven,proeven,purge,koelen,toevoeging,pomp start,pomp stop,overdrukken,verwerken,sample naar lab,purge,verwerken,samenvoegen,dryhopping,purge,transport,anders"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1" activeCellId="0" sqref="D61"/>
    </sheetView>
  </sheetViews>
  <sheetFormatPr defaultColWidth="8.00390625" defaultRowHeight="15" zeroHeight="false" outlineLevelRow="0" outlineLevelCol="0"/>
  <cols>
    <col collapsed="false" customWidth="true" hidden="false" outlineLevel="0" max="1" min="1" style="693" width="4.5"/>
    <col collapsed="false" customWidth="true" hidden="false" outlineLevel="0" max="2" min="2" style="693" width="5.12"/>
    <col collapsed="false" customWidth="true" hidden="false" outlineLevel="0" max="3" min="3" style="693" width="9.62"/>
    <col collapsed="false" customWidth="true" hidden="false" outlineLevel="0" max="4" min="4" style="693" width="4.12"/>
    <col collapsed="false" customWidth="true" hidden="false" outlineLevel="0" max="5" min="5" style="693" width="3.62"/>
    <col collapsed="false" customWidth="true" hidden="false" outlineLevel="0" max="8" min="6" style="693" width="4.12"/>
    <col collapsed="false" customWidth="true" hidden="false" outlineLevel="0" max="9" min="9" style="693" width="3.62"/>
    <col collapsed="false" customWidth="true" hidden="false" outlineLevel="0" max="10" min="10" style="693" width="3"/>
    <col collapsed="false" customWidth="true" hidden="false" outlineLevel="0" max="11" min="11" style="693" width="3.62"/>
    <col collapsed="false" customWidth="true" hidden="false" outlineLevel="0" max="12" min="12" style="693" width="2"/>
    <col collapsed="false" customWidth="true" hidden="false" outlineLevel="0" max="13" min="13" style="693" width="4.12"/>
    <col collapsed="false" customWidth="true" hidden="false" outlineLevel="0" max="14" min="14" style="693" width="4.62"/>
    <col collapsed="false" customWidth="true" hidden="false" outlineLevel="0" max="15" min="15" style="693" width="3.62"/>
    <col collapsed="false" customWidth="true" hidden="false" outlineLevel="0" max="16" min="16" style="693" width="3"/>
    <col collapsed="false" customWidth="true" hidden="false" outlineLevel="0" max="17" min="17" style="693" width="8.62"/>
    <col collapsed="false" customWidth="true" hidden="false" outlineLevel="0" max="18" min="18" style="693" width="8.12"/>
    <col collapsed="false" customWidth="false" hidden="false" outlineLevel="0" max="19" min="19" style="693" width="8"/>
    <col collapsed="false" customWidth="true" hidden="false" outlineLevel="0" max="20" min="20" style="693" width="12.5"/>
    <col collapsed="false" customWidth="false" hidden="false" outlineLevel="0" max="22" min="21" style="693" width="8"/>
    <col collapsed="false" customWidth="true" hidden="false" outlineLevel="0" max="23" min="23" style="693" width="6.88"/>
    <col collapsed="false" customWidth="true" hidden="true" outlineLevel="0" max="32" min="24" style="693" width="10.49"/>
    <col collapsed="false" customWidth="false" hidden="true" outlineLevel="0" max="16384" min="33" style="693" width="8"/>
  </cols>
  <sheetData>
    <row r="1" customFormat="false" ht="15" hidden="false" customHeight="true" outlineLevel="0" collapsed="false">
      <c r="A1" s="694" t="s">
        <v>294</v>
      </c>
      <c r="B1" s="694"/>
      <c r="C1" s="694"/>
      <c r="D1" s="694"/>
      <c r="E1" s="694"/>
      <c r="F1" s="694"/>
      <c r="G1" s="694"/>
      <c r="H1" s="694"/>
      <c r="I1" s="694"/>
      <c r="J1" s="694"/>
      <c r="K1" s="694"/>
      <c r="L1" s="694"/>
      <c r="M1" s="694"/>
      <c r="N1" s="694"/>
      <c r="O1" s="694"/>
      <c r="P1" s="694"/>
      <c r="Q1" s="694"/>
      <c r="R1" s="694"/>
      <c r="S1" s="695" t="n">
        <f aca="false">D63</f>
        <v>0</v>
      </c>
      <c r="T1" s="498"/>
      <c r="U1" s="498"/>
      <c r="V1" s="498"/>
      <c r="W1" s="498"/>
    </row>
    <row r="2" customFormat="false" ht="15" hidden="false" customHeight="true" outlineLevel="0" collapsed="false">
      <c r="A2" s="694"/>
      <c r="B2" s="694"/>
      <c r="C2" s="694"/>
      <c r="D2" s="694"/>
      <c r="E2" s="694"/>
      <c r="F2" s="694"/>
      <c r="G2" s="694"/>
      <c r="H2" s="694"/>
      <c r="I2" s="694"/>
      <c r="J2" s="694"/>
      <c r="K2" s="694"/>
      <c r="L2" s="694"/>
      <c r="M2" s="694"/>
      <c r="N2" s="694"/>
      <c r="O2" s="694"/>
      <c r="P2" s="694"/>
      <c r="Q2" s="694"/>
      <c r="R2" s="694"/>
      <c r="S2" s="52" t="str">
        <f aca="false">R62</f>
        <v>no</v>
      </c>
      <c r="T2" s="498"/>
      <c r="U2" s="498"/>
      <c r="V2" s="498"/>
      <c r="W2" s="498"/>
    </row>
    <row r="3" customFormat="false" ht="15" hidden="false" customHeight="true" outlineLevel="0" collapsed="false">
      <c r="A3" s="696" t="s">
        <v>295</v>
      </c>
      <c r="B3" s="696"/>
      <c r="C3" s="697" t="n">
        <f aca="false">'Gistkaart Invoer'!A4</f>
        <v>0</v>
      </c>
      <c r="D3" s="697"/>
      <c r="E3" s="697"/>
      <c r="F3" s="697"/>
      <c r="G3" s="697"/>
      <c r="H3" s="697"/>
      <c r="I3" s="698" t="s">
        <v>296</v>
      </c>
      <c r="J3" s="698"/>
      <c r="K3" s="698"/>
      <c r="L3" s="699" t="n">
        <f aca="false">'Recept-voorblad'!K3</f>
        <v>26225</v>
      </c>
      <c r="M3" s="699"/>
      <c r="N3" s="699"/>
      <c r="O3" s="699"/>
      <c r="P3" s="700"/>
      <c r="Q3" s="701"/>
      <c r="R3" s="702"/>
      <c r="S3" s="498"/>
      <c r="T3" s="498"/>
      <c r="U3" s="498"/>
      <c r="V3" s="498"/>
      <c r="W3" s="498"/>
    </row>
    <row r="4" customFormat="false" ht="15" hidden="false" customHeight="true" outlineLevel="0" collapsed="false">
      <c r="A4" s="696"/>
      <c r="B4" s="696"/>
      <c r="C4" s="697"/>
      <c r="D4" s="697"/>
      <c r="E4" s="697"/>
      <c r="F4" s="697"/>
      <c r="G4" s="697"/>
      <c r="H4" s="697"/>
      <c r="I4" s="698"/>
      <c r="J4" s="698"/>
      <c r="K4" s="698"/>
      <c r="L4" s="699"/>
      <c r="M4" s="699"/>
      <c r="N4" s="699"/>
      <c r="O4" s="699"/>
      <c r="P4" s="703"/>
      <c r="Q4" s="498"/>
      <c r="R4" s="704"/>
      <c r="S4" s="705" t="s">
        <v>297</v>
      </c>
      <c r="T4" s="498"/>
      <c r="U4" s="498"/>
      <c r="V4" s="498"/>
      <c r="W4" s="498"/>
    </row>
    <row r="5" customFormat="false" ht="15.75" hidden="false" customHeight="true" outlineLevel="0" collapsed="false">
      <c r="A5" s="706" t="s">
        <v>298</v>
      </c>
      <c r="B5" s="706"/>
      <c r="C5" s="706"/>
      <c r="D5" s="706"/>
      <c r="E5" s="706"/>
      <c r="F5" s="706"/>
      <c r="G5" s="706"/>
      <c r="H5" s="706"/>
      <c r="I5" s="706"/>
      <c r="J5" s="706"/>
      <c r="K5" s="706"/>
      <c r="L5" s="706"/>
      <c r="M5" s="706"/>
      <c r="N5" s="706"/>
      <c r="O5" s="706"/>
      <c r="P5" s="707" t="s">
        <v>299</v>
      </c>
      <c r="Q5" s="707"/>
      <c r="R5" s="707"/>
      <c r="S5" s="498"/>
      <c r="T5" s="498" t="s">
        <v>300</v>
      </c>
      <c r="U5" s="498"/>
      <c r="V5" s="498"/>
      <c r="W5" s="498"/>
    </row>
    <row r="6" s="717" customFormat="true" ht="15" hidden="false" customHeight="true" outlineLevel="0" collapsed="false">
      <c r="A6" s="708" t="s">
        <v>11</v>
      </c>
      <c r="B6" s="709"/>
      <c r="C6" s="710"/>
      <c r="D6" s="711" t="s">
        <v>301</v>
      </c>
      <c r="E6" s="711" t="s">
        <v>302</v>
      </c>
      <c r="F6" s="711"/>
      <c r="G6" s="711" t="s">
        <v>13</v>
      </c>
      <c r="H6" s="712" t="s">
        <v>11</v>
      </c>
      <c r="I6" s="712"/>
      <c r="J6" s="712"/>
      <c r="K6" s="712"/>
      <c r="L6" s="712"/>
      <c r="M6" s="711" t="s">
        <v>301</v>
      </c>
      <c r="N6" s="711" t="s">
        <v>302</v>
      </c>
      <c r="O6" s="713" t="s">
        <v>13</v>
      </c>
      <c r="P6" s="714" t="n">
        <f aca="false">'Recept-voorblad'!N17</f>
        <v>0</v>
      </c>
      <c r="Q6" s="714"/>
      <c r="R6" s="714"/>
      <c r="S6" s="715"/>
      <c r="T6" s="716" t="s">
        <v>303</v>
      </c>
      <c r="U6" s="716"/>
      <c r="V6" s="498"/>
      <c r="W6" s="498"/>
    </row>
    <row r="7" s="717" customFormat="true" ht="15" hidden="false" customHeight="true" outlineLevel="0" collapsed="false">
      <c r="A7" s="718" t="s">
        <v>304</v>
      </c>
      <c r="B7" s="718"/>
      <c r="C7" s="718"/>
      <c r="D7" s="719" t="s">
        <v>18</v>
      </c>
      <c r="E7" s="720" t="n">
        <f aca="false">'Recept-voorblad'!M25</f>
        <v>0</v>
      </c>
      <c r="F7" s="720"/>
      <c r="G7" s="721" t="n">
        <f aca="false">'Recept-voorblad'!L25</f>
        <v>0</v>
      </c>
      <c r="H7" s="722" t="s">
        <v>305</v>
      </c>
      <c r="I7" s="722"/>
      <c r="J7" s="722"/>
      <c r="K7" s="722"/>
      <c r="L7" s="722"/>
      <c r="M7" s="723" t="s">
        <v>21</v>
      </c>
      <c r="N7" s="39" t="n">
        <f aca="false">'Recept-voorblad'!M13</f>
        <v>0</v>
      </c>
      <c r="O7" s="724" t="n">
        <f aca="false">'Recept-voorblad'!L13-0.1</f>
        <v>-0.1</v>
      </c>
      <c r="P7" s="714"/>
      <c r="Q7" s="714"/>
      <c r="R7" s="714"/>
      <c r="S7" s="715"/>
      <c r="T7" s="716" t="s">
        <v>306</v>
      </c>
      <c r="U7" s="716"/>
      <c r="V7" s="498"/>
      <c r="W7" s="498"/>
    </row>
    <row r="8" s="717" customFormat="true" ht="15" hidden="false" customHeight="true" outlineLevel="0" collapsed="false">
      <c r="A8" s="725" t="s">
        <v>307</v>
      </c>
      <c r="B8" s="725"/>
      <c r="C8" s="725"/>
      <c r="D8" s="719" t="s">
        <v>46</v>
      </c>
      <c r="E8" s="726" t="n">
        <f aca="false">'Recept-voorblad'!M24</f>
        <v>0</v>
      </c>
      <c r="F8" s="726"/>
      <c r="G8" s="727" t="n">
        <v>2</v>
      </c>
      <c r="H8" s="728" t="s">
        <v>308</v>
      </c>
      <c r="I8" s="728"/>
      <c r="J8" s="728"/>
      <c r="K8" s="728"/>
      <c r="L8" s="728"/>
      <c r="M8" s="723" t="s">
        <v>21</v>
      </c>
      <c r="N8" s="44" t="n">
        <f aca="false">'Recept-voorblad'!M15</f>
        <v>0</v>
      </c>
      <c r="O8" s="724" t="n">
        <f aca="false">'Recept-voorblad'!L15+0.2</f>
        <v>0.2</v>
      </c>
      <c r="P8" s="714"/>
      <c r="Q8" s="714"/>
      <c r="R8" s="714"/>
      <c r="S8" s="715"/>
      <c r="T8" s="716" t="s">
        <v>309</v>
      </c>
      <c r="U8" s="716"/>
      <c r="V8" s="498"/>
      <c r="W8" s="498"/>
    </row>
    <row r="9" s="717" customFormat="true" ht="15" hidden="false" customHeight="true" outlineLevel="0" collapsed="false">
      <c r="A9" s="729" t="s">
        <v>310</v>
      </c>
      <c r="B9" s="729"/>
      <c r="C9" s="729"/>
      <c r="D9" s="719" t="s">
        <v>30</v>
      </c>
      <c r="E9" s="730" t="n">
        <v>50</v>
      </c>
      <c r="F9" s="730"/>
      <c r="G9" s="731" t="s">
        <v>311</v>
      </c>
      <c r="H9" s="725" t="s">
        <v>312</v>
      </c>
      <c r="I9" s="725"/>
      <c r="J9" s="725"/>
      <c r="K9" s="725"/>
      <c r="L9" s="725"/>
      <c r="M9" s="723"/>
      <c r="N9" s="732" t="n">
        <f aca="false">'Recept-voorblad'!M14</f>
        <v>0</v>
      </c>
      <c r="O9" s="733" t="n">
        <f aca="false">'Recept-voorblad'!L14-0.1</f>
        <v>-0.1</v>
      </c>
      <c r="P9" s="714"/>
      <c r="Q9" s="714"/>
      <c r="R9" s="714"/>
      <c r="S9" s="715"/>
      <c r="T9" s="716"/>
      <c r="U9" s="716"/>
      <c r="V9" s="498"/>
      <c r="W9" s="498"/>
    </row>
    <row r="10" customFormat="false" ht="18.75" hidden="false" customHeight="true" outlineLevel="0" collapsed="false">
      <c r="A10" s="707" t="s">
        <v>313</v>
      </c>
      <c r="B10" s="707"/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16"/>
      <c r="T10" s="716"/>
      <c r="U10" s="716"/>
      <c r="V10" s="716"/>
      <c r="W10" s="734"/>
    </row>
    <row r="11" customFormat="false" ht="18.75" hidden="false" customHeight="true" outlineLevel="0" collapsed="false">
      <c r="A11" s="735" t="s">
        <v>314</v>
      </c>
      <c r="B11" s="735"/>
      <c r="C11" s="736"/>
      <c r="D11" s="737" t="s">
        <v>315</v>
      </c>
      <c r="E11" s="737"/>
      <c r="F11" s="738" t="s">
        <v>316</v>
      </c>
      <c r="G11" s="738"/>
      <c r="H11" s="739" t="s">
        <v>317</v>
      </c>
      <c r="I11" s="739"/>
      <c r="J11" s="739"/>
      <c r="K11" s="739"/>
      <c r="L11" s="739"/>
      <c r="M11" s="739"/>
      <c r="N11" s="740"/>
      <c r="O11" s="740"/>
      <c r="P11" s="740"/>
      <c r="Q11" s="740"/>
      <c r="R11" s="740"/>
      <c r="S11" s="498"/>
      <c r="T11" s="498"/>
      <c r="U11" s="498"/>
      <c r="V11" s="716"/>
      <c r="W11" s="734"/>
    </row>
    <row r="12" customFormat="false" ht="15" hidden="false" customHeight="true" outlineLevel="0" collapsed="false">
      <c r="A12" s="712" t="s">
        <v>318</v>
      </c>
      <c r="B12" s="712"/>
      <c r="C12" s="712"/>
      <c r="D12" s="736"/>
      <c r="E12" s="741" t="s">
        <v>30</v>
      </c>
      <c r="F12" s="742"/>
      <c r="G12" s="741" t="s">
        <v>21</v>
      </c>
      <c r="H12" s="711" t="s">
        <v>319</v>
      </c>
      <c r="I12" s="711"/>
      <c r="J12" s="711"/>
      <c r="K12" s="711"/>
      <c r="L12" s="711"/>
      <c r="M12" s="711"/>
      <c r="N12" s="743" t="str">
        <f aca="false">IF(D16="","",(D16-N11))</f>
        <v/>
      </c>
      <c r="O12" s="743"/>
      <c r="P12" s="712" t="s">
        <v>210</v>
      </c>
      <c r="Q12" s="712"/>
      <c r="R12" s="712"/>
      <c r="S12" s="498"/>
      <c r="T12" s="498"/>
      <c r="U12" s="498"/>
      <c r="V12" s="498"/>
      <c r="W12" s="498"/>
    </row>
    <row r="13" customFormat="false" ht="15.75" hidden="false" customHeight="true" outlineLevel="0" collapsed="false">
      <c r="A13" s="707" t="s">
        <v>294</v>
      </c>
      <c r="B13" s="707"/>
      <c r="C13" s="707"/>
      <c r="D13" s="707"/>
      <c r="E13" s="707"/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498"/>
      <c r="T13" s="498"/>
      <c r="U13" s="498"/>
      <c r="V13" s="498"/>
      <c r="W13" s="498"/>
    </row>
    <row r="14" customFormat="false" ht="15" hidden="false" customHeight="true" outlineLevel="0" collapsed="false">
      <c r="A14" s="744" t="s">
        <v>320</v>
      </c>
      <c r="B14" s="744"/>
      <c r="C14" s="744"/>
      <c r="D14" s="27"/>
      <c r="E14" s="27"/>
      <c r="F14" s="27"/>
      <c r="G14" s="27"/>
      <c r="H14" s="27"/>
      <c r="I14" s="741" t="s">
        <v>321</v>
      </c>
      <c r="J14" s="741"/>
      <c r="K14" s="741"/>
      <c r="L14" s="741"/>
      <c r="M14" s="741"/>
      <c r="N14" s="741"/>
      <c r="O14" s="741"/>
      <c r="P14" s="745"/>
      <c r="Q14" s="745"/>
      <c r="R14" s="745"/>
      <c r="S14" s="498"/>
      <c r="T14" s="498"/>
      <c r="U14" s="498"/>
      <c r="V14" s="498"/>
      <c r="W14" s="498"/>
    </row>
    <row r="15" customFormat="false" ht="15" hidden="false" customHeight="true" outlineLevel="0" collapsed="false">
      <c r="A15" s="708" t="s">
        <v>322</v>
      </c>
      <c r="B15" s="746"/>
      <c r="C15" s="746"/>
      <c r="D15" s="27"/>
      <c r="E15" s="27"/>
      <c r="F15" s="27"/>
      <c r="G15" s="27"/>
      <c r="H15" s="27"/>
      <c r="I15" s="741" t="s">
        <v>323</v>
      </c>
      <c r="J15" s="741"/>
      <c r="K15" s="741"/>
      <c r="L15" s="741"/>
      <c r="M15" s="741"/>
      <c r="N15" s="741"/>
      <c r="O15" s="741"/>
      <c r="P15" s="745"/>
      <c r="Q15" s="745"/>
      <c r="R15" s="745"/>
      <c r="S15" s="498" t="s">
        <v>324</v>
      </c>
      <c r="T15" s="498"/>
      <c r="U15" s="498"/>
      <c r="V15" s="498"/>
      <c r="W15" s="498"/>
    </row>
    <row r="16" customFormat="false" ht="15" hidden="false" customHeight="true" outlineLevel="0" collapsed="false">
      <c r="A16" s="744" t="s">
        <v>325</v>
      </c>
      <c r="B16" s="744"/>
      <c r="C16" s="744"/>
      <c r="D16" s="27"/>
      <c r="E16" s="27"/>
      <c r="F16" s="27"/>
      <c r="G16" s="27"/>
      <c r="H16" s="27"/>
      <c r="I16" s="741" t="s">
        <v>326</v>
      </c>
      <c r="J16" s="741"/>
      <c r="K16" s="741"/>
      <c r="L16" s="741"/>
      <c r="M16" s="741"/>
      <c r="N16" s="741"/>
      <c r="O16" s="741"/>
      <c r="P16" s="747" t="str">
        <f aca="false">IF(P15="","",(P15-P14))</f>
        <v/>
      </c>
      <c r="Q16" s="747"/>
      <c r="R16" s="747"/>
      <c r="S16" s="498" t="s">
        <v>327</v>
      </c>
      <c r="T16" s="498"/>
      <c r="U16" s="637" t="s">
        <v>328</v>
      </c>
      <c r="V16" s="637" t="n">
        <v>950</v>
      </c>
      <c r="W16" s="498" t="s">
        <v>244</v>
      </c>
    </row>
    <row r="17" customFormat="false" ht="15" hidden="false" customHeight="true" outlineLevel="0" collapsed="false">
      <c r="A17" s="711"/>
      <c r="B17" s="711"/>
      <c r="C17" s="711"/>
      <c r="D17" s="711"/>
      <c r="E17" s="711"/>
      <c r="F17" s="711"/>
      <c r="G17" s="711"/>
      <c r="H17" s="711"/>
      <c r="I17" s="711"/>
      <c r="J17" s="711"/>
      <c r="K17" s="711"/>
      <c r="L17" s="711"/>
      <c r="M17" s="711"/>
      <c r="N17" s="711"/>
      <c r="O17" s="711"/>
      <c r="P17" s="711"/>
      <c r="Q17" s="711"/>
      <c r="R17" s="711"/>
      <c r="S17" s="76" t="s">
        <v>329</v>
      </c>
      <c r="T17" s="76"/>
      <c r="U17" s="748" t="n">
        <f aca="false">V22</f>
        <v>0</v>
      </c>
      <c r="V17" s="749" t="n">
        <v>6.95</v>
      </c>
      <c r="W17" s="76" t="s">
        <v>330</v>
      </c>
    </row>
    <row r="18" customFormat="false" ht="15" hidden="false" customHeight="true" outlineLevel="0" collapsed="false">
      <c r="A18" s="729" t="s">
        <v>331</v>
      </c>
      <c r="B18" s="729"/>
      <c r="C18" s="729"/>
      <c r="D18" s="750"/>
      <c r="E18" s="750"/>
      <c r="F18" s="750"/>
      <c r="G18" s="751" t="s">
        <v>332</v>
      </c>
      <c r="H18" s="751"/>
      <c r="I18" s="751"/>
      <c r="J18" s="752" t="s">
        <v>333</v>
      </c>
      <c r="K18" s="752"/>
      <c r="L18" s="752"/>
      <c r="M18" s="752"/>
      <c r="N18" s="752"/>
      <c r="O18" s="752"/>
      <c r="P18" s="752"/>
      <c r="Q18" s="752"/>
      <c r="R18" s="752"/>
      <c r="S18" s="76" t="s">
        <v>334</v>
      </c>
      <c r="T18" s="76"/>
      <c r="U18" s="76"/>
      <c r="V18" s="753" t="n">
        <v>5.5</v>
      </c>
      <c r="W18" s="76" t="s">
        <v>330</v>
      </c>
    </row>
    <row r="19" customFormat="false" ht="15" hidden="false" customHeight="true" outlineLevel="0" collapsed="false">
      <c r="A19" s="754"/>
      <c r="B19" s="754"/>
      <c r="C19" s="754"/>
      <c r="D19" s="711" t="s">
        <v>315</v>
      </c>
      <c r="E19" s="711"/>
      <c r="F19" s="711"/>
      <c r="G19" s="711" t="s">
        <v>316</v>
      </c>
      <c r="H19" s="711"/>
      <c r="I19" s="711"/>
      <c r="J19" s="755"/>
      <c r="K19" s="755"/>
      <c r="L19" s="755"/>
      <c r="M19" s="755"/>
      <c r="N19" s="755"/>
      <c r="O19" s="755"/>
      <c r="P19" s="755"/>
      <c r="Q19" s="755"/>
      <c r="R19" s="755"/>
      <c r="S19" s="76" t="s">
        <v>335</v>
      </c>
      <c r="T19" s="76"/>
      <c r="U19" s="76"/>
      <c r="V19" s="756" t="n">
        <f aca="false">(V16+V20)</f>
        <v>1200.45454545455</v>
      </c>
      <c r="W19" s="76" t="s">
        <v>244</v>
      </c>
    </row>
    <row r="20" customFormat="false" ht="15" hidden="false" customHeight="true" outlineLevel="0" collapsed="false">
      <c r="A20" s="718" t="s">
        <v>336</v>
      </c>
      <c r="B20" s="718"/>
      <c r="C20" s="718"/>
      <c r="D20" s="757"/>
      <c r="E20" s="757"/>
      <c r="F20" s="758" t="s">
        <v>30</v>
      </c>
      <c r="G20" s="757"/>
      <c r="H20" s="757"/>
      <c r="I20" s="759" t="s">
        <v>21</v>
      </c>
      <c r="J20" s="712" t="s">
        <v>337</v>
      </c>
      <c r="K20" s="712"/>
      <c r="L20" s="760" t="n">
        <v>1</v>
      </c>
      <c r="M20" s="711" t="s">
        <v>338</v>
      </c>
      <c r="N20" s="711"/>
      <c r="O20" s="761" t="n">
        <v>10</v>
      </c>
      <c r="P20" s="761"/>
      <c r="Q20" s="711" t="s">
        <v>339</v>
      </c>
      <c r="R20" s="711"/>
      <c r="S20" s="76" t="s">
        <v>340</v>
      </c>
      <c r="T20" s="76"/>
      <c r="U20" s="76"/>
      <c r="V20" s="756" t="n">
        <f aca="false">(V17-V18)*V16/V18</f>
        <v>250.454545454546</v>
      </c>
      <c r="W20" s="76" t="s">
        <v>244</v>
      </c>
    </row>
    <row r="21" customFormat="false" ht="15" hidden="false" customHeight="true" outlineLevel="0" collapsed="false">
      <c r="A21" s="725" t="s">
        <v>341</v>
      </c>
      <c r="B21" s="725"/>
      <c r="C21" s="725"/>
      <c r="D21" s="762"/>
      <c r="E21" s="762"/>
      <c r="F21" s="758" t="s">
        <v>30</v>
      </c>
      <c r="G21" s="763"/>
      <c r="H21" s="763"/>
      <c r="I21" s="759" t="s">
        <v>21</v>
      </c>
      <c r="J21" s="741" t="s">
        <v>342</v>
      </c>
      <c r="K21" s="741"/>
      <c r="L21" s="741"/>
      <c r="M21" s="764" t="s">
        <v>343</v>
      </c>
      <c r="N21" s="764"/>
      <c r="O21" s="764"/>
      <c r="P21" s="739" t="s">
        <v>344</v>
      </c>
      <c r="Q21" s="739"/>
      <c r="R21" s="765" t="s">
        <v>345</v>
      </c>
      <c r="S21" s="76"/>
      <c r="T21" s="766"/>
      <c r="U21" s="76"/>
      <c r="V21" s="76"/>
      <c r="W21" s="76"/>
    </row>
    <row r="22" customFormat="false" ht="15" hidden="false" customHeight="true" outlineLevel="0" collapsed="false">
      <c r="A22" s="767"/>
      <c r="B22" s="767"/>
      <c r="C22" s="767"/>
      <c r="D22" s="768"/>
      <c r="E22" s="768"/>
      <c r="F22" s="769" t="s">
        <v>30</v>
      </c>
      <c r="G22" s="768"/>
      <c r="H22" s="768"/>
      <c r="I22" s="770" t="s">
        <v>21</v>
      </c>
      <c r="J22" s="761"/>
      <c r="K22" s="761"/>
      <c r="L22" s="761"/>
      <c r="M22" s="761"/>
      <c r="N22" s="761"/>
      <c r="O22" s="761"/>
      <c r="P22" s="761"/>
      <c r="Q22" s="761"/>
      <c r="R22" s="761"/>
      <c r="S22" s="76" t="s">
        <v>346</v>
      </c>
      <c r="T22" s="76"/>
      <c r="U22" s="76"/>
      <c r="V22" s="76"/>
      <c r="W22" s="76"/>
    </row>
    <row r="23" customFormat="false" ht="15" hidden="false" customHeight="true" outlineLevel="0" collapsed="false">
      <c r="A23" s="767"/>
      <c r="B23" s="767"/>
      <c r="C23" s="767"/>
      <c r="D23" s="768"/>
      <c r="E23" s="768"/>
      <c r="F23" s="769" t="s">
        <v>30</v>
      </c>
      <c r="G23" s="768"/>
      <c r="H23" s="768"/>
      <c r="I23" s="770" t="s">
        <v>21</v>
      </c>
      <c r="J23" s="761"/>
      <c r="K23" s="761"/>
      <c r="L23" s="761"/>
      <c r="M23" s="761"/>
      <c r="N23" s="761"/>
      <c r="O23" s="761"/>
      <c r="P23" s="761"/>
      <c r="Q23" s="761"/>
      <c r="R23" s="761"/>
      <c r="S23" s="76" t="s">
        <v>347</v>
      </c>
      <c r="T23" s="76"/>
      <c r="U23" s="76"/>
      <c r="V23" s="76"/>
      <c r="W23" s="76" t="s">
        <v>244</v>
      </c>
    </row>
    <row r="24" customFormat="false" ht="15" hidden="false" customHeight="true" outlineLevel="0" collapsed="false">
      <c r="A24" s="752"/>
      <c r="B24" s="752"/>
      <c r="C24" s="752"/>
      <c r="D24" s="771"/>
      <c r="E24" s="771"/>
      <c r="F24" s="772" t="s">
        <v>30</v>
      </c>
      <c r="G24" s="771"/>
      <c r="H24" s="771"/>
      <c r="I24" s="773" t="s">
        <v>21</v>
      </c>
      <c r="J24" s="774"/>
      <c r="K24" s="774"/>
      <c r="L24" s="774"/>
      <c r="M24" s="774"/>
      <c r="N24" s="774"/>
      <c r="O24" s="774"/>
      <c r="P24" s="761"/>
      <c r="Q24" s="761"/>
      <c r="R24" s="761"/>
      <c r="S24" s="76" t="s">
        <v>348</v>
      </c>
      <c r="T24" s="76"/>
      <c r="U24" s="76"/>
      <c r="V24" s="76"/>
      <c r="W24" s="76" t="s">
        <v>244</v>
      </c>
    </row>
    <row r="25" customFormat="false" ht="15" hidden="false" customHeight="true" outlineLevel="0" collapsed="false">
      <c r="A25" s="709" t="s">
        <v>349</v>
      </c>
      <c r="B25" s="775"/>
      <c r="C25" s="710"/>
      <c r="D25" s="776"/>
      <c r="E25" s="776"/>
      <c r="F25" s="746" t="s">
        <v>46</v>
      </c>
      <c r="G25" s="777" t="s">
        <v>350</v>
      </c>
      <c r="H25" s="777"/>
      <c r="I25" s="777"/>
      <c r="J25" s="774"/>
      <c r="K25" s="774"/>
      <c r="L25" s="746" t="s">
        <v>36</v>
      </c>
      <c r="M25" s="741" t="s">
        <v>351</v>
      </c>
      <c r="N25" s="741"/>
      <c r="O25" s="741"/>
      <c r="P25" s="761"/>
      <c r="Q25" s="761"/>
      <c r="R25" s="778" t="s">
        <v>18</v>
      </c>
      <c r="S25" s="76"/>
      <c r="T25" s="76" t="s">
        <v>352</v>
      </c>
      <c r="U25" s="76"/>
      <c r="V25" s="76"/>
      <c r="W25" s="76"/>
    </row>
    <row r="26" customFormat="false" ht="15" hidden="false" customHeight="true" outlineLevel="0" collapsed="false">
      <c r="A26" s="779" t="s">
        <v>353</v>
      </c>
      <c r="B26" s="779"/>
      <c r="C26" s="779" t="s">
        <v>354</v>
      </c>
      <c r="D26" s="779"/>
      <c r="E26" s="779"/>
      <c r="F26" s="779"/>
      <c r="G26" s="779"/>
      <c r="H26" s="779"/>
      <c r="I26" s="779"/>
      <c r="J26" s="779"/>
      <c r="K26" s="779"/>
      <c r="L26" s="779"/>
      <c r="M26" s="779"/>
      <c r="N26" s="779"/>
      <c r="O26" s="779"/>
      <c r="P26" s="779"/>
      <c r="Q26" s="779"/>
      <c r="R26" s="779"/>
      <c r="S26" s="76"/>
      <c r="T26" s="76"/>
      <c r="U26" s="76"/>
      <c r="V26" s="76"/>
      <c r="W26" s="76"/>
    </row>
    <row r="27" customFormat="false" ht="15" hidden="false" customHeight="true" outlineLevel="0" collapsed="false">
      <c r="A27" s="774"/>
      <c r="B27" s="774"/>
      <c r="C27" s="780"/>
      <c r="D27" s="780"/>
      <c r="E27" s="780"/>
      <c r="F27" s="780"/>
      <c r="G27" s="780"/>
      <c r="H27" s="780"/>
      <c r="I27" s="780"/>
      <c r="J27" s="780"/>
      <c r="K27" s="780"/>
      <c r="L27" s="780"/>
      <c r="M27" s="780"/>
      <c r="N27" s="780"/>
      <c r="O27" s="780"/>
      <c r="P27" s="780"/>
      <c r="Q27" s="780"/>
      <c r="R27" s="780"/>
      <c r="S27" s="76"/>
      <c r="T27" s="76"/>
      <c r="U27" s="76"/>
      <c r="V27" s="76"/>
      <c r="W27" s="76"/>
    </row>
    <row r="28" customFormat="false" ht="15" hidden="false" customHeight="true" outlineLevel="0" collapsed="false">
      <c r="A28" s="774"/>
      <c r="B28" s="774"/>
      <c r="C28" s="780"/>
      <c r="D28" s="780"/>
      <c r="E28" s="780"/>
      <c r="F28" s="780"/>
      <c r="G28" s="780"/>
      <c r="H28" s="780"/>
      <c r="I28" s="780"/>
      <c r="J28" s="780"/>
      <c r="K28" s="780"/>
      <c r="L28" s="780"/>
      <c r="M28" s="780"/>
      <c r="N28" s="780"/>
      <c r="O28" s="780"/>
      <c r="P28" s="780"/>
      <c r="Q28" s="780"/>
      <c r="R28" s="780"/>
      <c r="S28" s="76"/>
      <c r="T28" s="76"/>
      <c r="U28" s="76"/>
      <c r="V28" s="76"/>
      <c r="W28" s="76"/>
    </row>
    <row r="29" customFormat="false" ht="15" hidden="false" customHeight="true" outlineLevel="0" collapsed="false">
      <c r="A29" s="741"/>
      <c r="B29" s="741"/>
      <c r="C29" s="779"/>
      <c r="D29" s="779"/>
      <c r="E29" s="779"/>
      <c r="F29" s="779"/>
      <c r="G29" s="779"/>
      <c r="H29" s="779"/>
      <c r="I29" s="779"/>
      <c r="J29" s="779"/>
      <c r="K29" s="779"/>
      <c r="L29" s="779"/>
      <c r="M29" s="779"/>
      <c r="N29" s="779"/>
      <c r="O29" s="779"/>
      <c r="P29" s="779"/>
      <c r="Q29" s="779"/>
      <c r="R29" s="779"/>
      <c r="S29" s="76"/>
      <c r="T29" s="76"/>
      <c r="U29" s="76"/>
      <c r="V29" s="76"/>
      <c r="W29" s="76"/>
    </row>
    <row r="30" customFormat="false" ht="15" hidden="false" customHeight="true" outlineLevel="0" collapsed="false">
      <c r="A30" s="741"/>
      <c r="B30" s="741"/>
      <c r="C30" s="779"/>
      <c r="D30" s="779"/>
      <c r="E30" s="779"/>
      <c r="F30" s="779"/>
      <c r="G30" s="779"/>
      <c r="H30" s="779"/>
      <c r="I30" s="779"/>
      <c r="J30" s="779"/>
      <c r="K30" s="779"/>
      <c r="L30" s="779"/>
      <c r="M30" s="779"/>
      <c r="N30" s="779"/>
      <c r="O30" s="779"/>
      <c r="P30" s="779"/>
      <c r="Q30" s="779"/>
      <c r="R30" s="779"/>
      <c r="S30" s="498"/>
      <c r="T30" s="498"/>
      <c r="U30" s="498"/>
      <c r="V30" s="498"/>
      <c r="W30" s="498"/>
    </row>
    <row r="31" customFormat="false" ht="30" hidden="false" customHeight="true" outlineLevel="0" collapsed="false">
      <c r="A31" s="781" t="s">
        <v>355</v>
      </c>
      <c r="B31" s="781"/>
      <c r="C31" s="782"/>
      <c r="D31" s="782"/>
      <c r="E31" s="782"/>
      <c r="F31" s="782"/>
      <c r="G31" s="782"/>
      <c r="H31" s="782"/>
      <c r="I31" s="782"/>
      <c r="J31" s="782"/>
      <c r="K31" s="782"/>
      <c r="L31" s="782"/>
      <c r="M31" s="782"/>
      <c r="N31" s="782"/>
      <c r="O31" s="782"/>
      <c r="P31" s="782"/>
      <c r="Q31" s="783" t="s">
        <v>356</v>
      </c>
      <c r="R31" s="741" t="s">
        <v>8</v>
      </c>
      <c r="S31" s="498"/>
      <c r="T31" s="498"/>
      <c r="U31" s="498"/>
      <c r="V31" s="498"/>
      <c r="W31" s="498"/>
    </row>
    <row r="32" customFormat="false" ht="15.75" hidden="false" customHeight="true" outlineLevel="0" collapsed="false">
      <c r="A32" s="707" t="s">
        <v>357</v>
      </c>
      <c r="B32" s="707"/>
      <c r="C32" s="707"/>
      <c r="D32" s="707"/>
      <c r="E32" s="707"/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498"/>
      <c r="T32" s="498"/>
      <c r="U32" s="498"/>
      <c r="V32" s="498"/>
      <c r="W32" s="498"/>
    </row>
    <row r="33" customFormat="false" ht="15" hidden="false" customHeight="true" outlineLevel="0" collapsed="false">
      <c r="A33" s="709"/>
      <c r="B33" s="775"/>
      <c r="C33" s="775"/>
      <c r="D33" s="784"/>
      <c r="E33" s="784"/>
      <c r="F33" s="785"/>
      <c r="G33" s="784"/>
      <c r="H33" s="784"/>
      <c r="I33" s="785"/>
      <c r="J33" s="775"/>
      <c r="K33" s="775"/>
      <c r="L33" s="710"/>
      <c r="M33" s="711" t="s">
        <v>358</v>
      </c>
      <c r="N33" s="711"/>
      <c r="O33" s="711"/>
      <c r="P33" s="711"/>
      <c r="Q33" s="711"/>
      <c r="R33" s="711"/>
      <c r="S33" s="786"/>
      <c r="T33" s="787" t="s">
        <v>359</v>
      </c>
      <c r="U33" s="786"/>
      <c r="V33" s="786"/>
      <c r="W33" s="786"/>
    </row>
    <row r="34" customFormat="false" ht="15" hidden="false" customHeight="true" outlineLevel="0" collapsed="false">
      <c r="A34" s="788" t="s">
        <v>360</v>
      </c>
      <c r="B34" s="789"/>
      <c r="C34" s="790"/>
      <c r="D34" s="791" t="s">
        <v>361</v>
      </c>
      <c r="E34" s="790"/>
      <c r="F34" s="792" t="s">
        <v>30</v>
      </c>
      <c r="G34" s="793"/>
      <c r="H34" s="793"/>
      <c r="I34" s="792" t="s">
        <v>21</v>
      </c>
      <c r="J34" s="794" t="s">
        <v>362</v>
      </c>
      <c r="K34" s="794"/>
      <c r="L34" s="794"/>
      <c r="M34" s="795"/>
      <c r="N34" s="795"/>
      <c r="O34" s="795"/>
      <c r="P34" s="795"/>
      <c r="Q34" s="795"/>
      <c r="R34" s="795"/>
      <c r="S34" s="498"/>
      <c r="T34" s="636" t="s">
        <v>363</v>
      </c>
      <c r="U34" s="498"/>
      <c r="V34" s="498"/>
      <c r="W34" s="498"/>
    </row>
    <row r="35" customFormat="false" ht="15" hidden="false" customHeight="true" outlineLevel="0" collapsed="false">
      <c r="A35" s="796" t="s">
        <v>360</v>
      </c>
      <c r="B35" s="797"/>
      <c r="C35" s="798"/>
      <c r="D35" s="799" t="s">
        <v>361</v>
      </c>
      <c r="E35" s="798"/>
      <c r="F35" s="769" t="s">
        <v>30</v>
      </c>
      <c r="G35" s="800"/>
      <c r="H35" s="800"/>
      <c r="I35" s="769" t="s">
        <v>21</v>
      </c>
      <c r="J35" s="801" t="s">
        <v>364</v>
      </c>
      <c r="K35" s="801"/>
      <c r="L35" s="801"/>
      <c r="M35" s="802"/>
      <c r="N35" s="802"/>
      <c r="O35" s="802"/>
      <c r="P35" s="802"/>
      <c r="Q35" s="802"/>
      <c r="R35" s="802"/>
      <c r="S35" s="498" t="s">
        <v>365</v>
      </c>
      <c r="T35" s="498"/>
      <c r="U35" s="803" t="n">
        <v>11</v>
      </c>
      <c r="V35" s="803" t="n">
        <v>60</v>
      </c>
      <c r="W35" s="498" t="s">
        <v>361</v>
      </c>
    </row>
    <row r="36" customFormat="false" ht="15" hidden="false" customHeight="true" outlineLevel="0" collapsed="false">
      <c r="A36" s="796" t="s">
        <v>360</v>
      </c>
      <c r="B36" s="797"/>
      <c r="C36" s="798"/>
      <c r="D36" s="799" t="s">
        <v>361</v>
      </c>
      <c r="E36" s="798"/>
      <c r="F36" s="769" t="s">
        <v>30</v>
      </c>
      <c r="G36" s="804"/>
      <c r="H36" s="804"/>
      <c r="I36" s="769" t="s">
        <v>21</v>
      </c>
      <c r="J36" s="801" t="s">
        <v>366</v>
      </c>
      <c r="K36" s="801"/>
      <c r="L36" s="801"/>
      <c r="M36" s="802"/>
      <c r="N36" s="802"/>
      <c r="O36" s="802"/>
      <c r="P36" s="802"/>
      <c r="Q36" s="802"/>
      <c r="R36" s="802"/>
      <c r="S36" s="498" t="s">
        <v>367</v>
      </c>
      <c r="T36" s="498"/>
      <c r="U36" s="805"/>
      <c r="V36" s="806" t="e">
        <f aca="false">VLOOKUP("*Nagardo*",'Recept-voorblad'!$A$89:$H$93,5,FALSE())</f>
        <v>#N/A</v>
      </c>
      <c r="W36" s="498" t="s">
        <v>246</v>
      </c>
    </row>
    <row r="37" customFormat="false" ht="15" hidden="false" customHeight="true" outlineLevel="0" collapsed="false">
      <c r="A37" s="796" t="s">
        <v>360</v>
      </c>
      <c r="B37" s="797"/>
      <c r="C37" s="798"/>
      <c r="D37" s="799" t="s">
        <v>361</v>
      </c>
      <c r="E37" s="798"/>
      <c r="F37" s="769" t="s">
        <v>30</v>
      </c>
      <c r="G37" s="804"/>
      <c r="H37" s="804"/>
      <c r="I37" s="769" t="s">
        <v>21</v>
      </c>
      <c r="J37" s="801" t="s">
        <v>368</v>
      </c>
      <c r="K37" s="801"/>
      <c r="L37" s="801"/>
      <c r="M37" s="802"/>
      <c r="N37" s="802"/>
      <c r="O37" s="802"/>
      <c r="P37" s="802"/>
      <c r="Q37" s="802"/>
      <c r="R37" s="802"/>
      <c r="S37" s="498" t="s">
        <v>247</v>
      </c>
      <c r="T37" s="498"/>
      <c r="U37" s="498"/>
      <c r="V37" s="807" t="e">
        <f aca="false">V35*V36/1000*100</f>
        <v>#N/A</v>
      </c>
      <c r="W37" s="498" t="s">
        <v>248</v>
      </c>
    </row>
    <row r="38" customFormat="false" ht="15" hidden="false" customHeight="true" outlineLevel="0" collapsed="false">
      <c r="A38" s="796" t="s">
        <v>360</v>
      </c>
      <c r="B38" s="797"/>
      <c r="C38" s="798"/>
      <c r="D38" s="799" t="s">
        <v>361</v>
      </c>
      <c r="E38" s="798"/>
      <c r="F38" s="769" t="s">
        <v>30</v>
      </c>
      <c r="G38" s="804"/>
      <c r="H38" s="804"/>
      <c r="I38" s="769" t="s">
        <v>21</v>
      </c>
      <c r="J38" s="801" t="s">
        <v>362</v>
      </c>
      <c r="K38" s="801"/>
      <c r="L38" s="801"/>
      <c r="M38" s="802"/>
      <c r="N38" s="802"/>
      <c r="O38" s="802"/>
      <c r="P38" s="802"/>
      <c r="Q38" s="802"/>
      <c r="R38" s="802"/>
      <c r="S38" s="498" t="s">
        <v>249</v>
      </c>
      <c r="T38" s="498"/>
      <c r="U38" s="498"/>
      <c r="V38" s="808" t="e">
        <f aca="false">V37/(1000*0.01)</f>
        <v>#N/A</v>
      </c>
      <c r="W38" s="498" t="s">
        <v>244</v>
      </c>
    </row>
    <row r="39" customFormat="false" ht="15" hidden="false" customHeight="true" outlineLevel="0" collapsed="false">
      <c r="A39" s="796" t="s">
        <v>360</v>
      </c>
      <c r="B39" s="809"/>
      <c r="C39" s="810"/>
      <c r="D39" s="809" t="s">
        <v>361</v>
      </c>
      <c r="E39" s="810"/>
      <c r="F39" s="811" t="s">
        <v>30</v>
      </c>
      <c r="G39" s="812"/>
      <c r="H39" s="812"/>
      <c r="I39" s="811" t="s">
        <v>21</v>
      </c>
      <c r="J39" s="813" t="s">
        <v>368</v>
      </c>
      <c r="K39" s="813"/>
      <c r="L39" s="813"/>
      <c r="M39" s="814"/>
      <c r="N39" s="814"/>
      <c r="O39" s="814"/>
      <c r="P39" s="814"/>
      <c r="Q39" s="814"/>
      <c r="R39" s="814"/>
      <c r="S39" s="498" t="s">
        <v>369</v>
      </c>
      <c r="U39" s="815" t="s">
        <v>370</v>
      </c>
      <c r="V39" s="815" t="s">
        <v>371</v>
      </c>
      <c r="W39" s="498"/>
    </row>
    <row r="40" customFormat="false" ht="15" hidden="false" customHeight="true" outlineLevel="0" collapsed="false">
      <c r="A40" s="796" t="s">
        <v>360</v>
      </c>
      <c r="B40" s="799"/>
      <c r="C40" s="816"/>
      <c r="D40" s="799" t="s">
        <v>361</v>
      </c>
      <c r="E40" s="816"/>
      <c r="F40" s="769" t="s">
        <v>30</v>
      </c>
      <c r="G40" s="812"/>
      <c r="H40" s="812"/>
      <c r="I40" s="769" t="s">
        <v>21</v>
      </c>
      <c r="J40" s="813" t="s">
        <v>368</v>
      </c>
      <c r="K40" s="813"/>
      <c r="L40" s="813"/>
      <c r="M40" s="802"/>
      <c r="N40" s="802"/>
      <c r="O40" s="802"/>
      <c r="P40" s="802"/>
      <c r="Q40" s="802"/>
      <c r="R40" s="802"/>
      <c r="S40" s="498" t="s">
        <v>372</v>
      </c>
      <c r="T40" s="498"/>
      <c r="U40" s="817"/>
      <c r="V40" s="803" t="s">
        <v>373</v>
      </c>
      <c r="W40" s="498"/>
    </row>
    <row r="41" customFormat="false" ht="15" hidden="false" customHeight="true" outlineLevel="0" collapsed="false">
      <c r="A41" s="796" t="s">
        <v>360</v>
      </c>
      <c r="B41" s="799"/>
      <c r="C41" s="816"/>
      <c r="D41" s="799" t="s">
        <v>361</v>
      </c>
      <c r="E41" s="816"/>
      <c r="F41" s="769" t="s">
        <v>30</v>
      </c>
      <c r="G41" s="818"/>
      <c r="H41" s="818"/>
      <c r="I41" s="769" t="s">
        <v>21</v>
      </c>
      <c r="J41" s="813" t="s">
        <v>368</v>
      </c>
      <c r="K41" s="813"/>
      <c r="L41" s="813"/>
      <c r="M41" s="802"/>
      <c r="N41" s="802"/>
      <c r="O41" s="802"/>
      <c r="P41" s="802"/>
      <c r="Q41" s="802"/>
      <c r="R41" s="802"/>
      <c r="S41" s="498" t="s">
        <v>374</v>
      </c>
      <c r="T41" s="498"/>
      <c r="U41" s="817"/>
      <c r="V41" s="803" t="s">
        <v>373</v>
      </c>
      <c r="W41" s="498"/>
    </row>
    <row r="42" customFormat="false" ht="15" hidden="false" customHeight="true" outlineLevel="0" collapsed="false">
      <c r="A42" s="796" t="s">
        <v>360</v>
      </c>
      <c r="B42" s="799"/>
      <c r="C42" s="816"/>
      <c r="D42" s="799" t="s">
        <v>361</v>
      </c>
      <c r="E42" s="816"/>
      <c r="F42" s="769" t="s">
        <v>30</v>
      </c>
      <c r="G42" s="818"/>
      <c r="H42" s="818"/>
      <c r="I42" s="769" t="s">
        <v>21</v>
      </c>
      <c r="J42" s="813" t="s">
        <v>368</v>
      </c>
      <c r="K42" s="813"/>
      <c r="L42" s="813"/>
      <c r="M42" s="802"/>
      <c r="N42" s="802"/>
      <c r="O42" s="802"/>
      <c r="P42" s="802"/>
      <c r="Q42" s="802"/>
      <c r="R42" s="802"/>
      <c r="S42" s="498" t="s">
        <v>375</v>
      </c>
      <c r="T42" s="498"/>
      <c r="U42" s="817"/>
      <c r="V42" s="803" t="s">
        <v>373</v>
      </c>
      <c r="W42" s="498"/>
    </row>
    <row r="43" customFormat="false" ht="15" hidden="false" customHeight="true" outlineLevel="0" collapsed="false">
      <c r="A43" s="796" t="s">
        <v>360</v>
      </c>
      <c r="B43" s="809"/>
      <c r="C43" s="810"/>
      <c r="D43" s="809" t="s">
        <v>361</v>
      </c>
      <c r="E43" s="810"/>
      <c r="F43" s="811" t="s">
        <v>30</v>
      </c>
      <c r="G43" s="812"/>
      <c r="H43" s="812"/>
      <c r="I43" s="811" t="s">
        <v>21</v>
      </c>
      <c r="J43" s="813" t="s">
        <v>368</v>
      </c>
      <c r="K43" s="813"/>
      <c r="L43" s="813"/>
      <c r="M43" s="814"/>
      <c r="N43" s="814"/>
      <c r="O43" s="814"/>
      <c r="P43" s="814"/>
      <c r="Q43" s="814"/>
      <c r="R43" s="814"/>
      <c r="S43" s="636"/>
      <c r="T43" s="636" t="s">
        <v>250</v>
      </c>
      <c r="U43" s="640"/>
      <c r="V43" s="640"/>
      <c r="W43" s="636"/>
    </row>
    <row r="44" customFormat="false" ht="15" hidden="false" customHeight="true" outlineLevel="0" collapsed="false">
      <c r="A44" s="796" t="s">
        <v>360</v>
      </c>
      <c r="B44" s="799"/>
      <c r="C44" s="816"/>
      <c r="D44" s="799" t="s">
        <v>361</v>
      </c>
      <c r="E44" s="816"/>
      <c r="F44" s="769" t="s">
        <v>30</v>
      </c>
      <c r="G44" s="812"/>
      <c r="H44" s="812"/>
      <c r="I44" s="769" t="s">
        <v>21</v>
      </c>
      <c r="J44" s="813" t="s">
        <v>368</v>
      </c>
      <c r="K44" s="813"/>
      <c r="L44" s="813"/>
      <c r="M44" s="802"/>
      <c r="N44" s="802"/>
      <c r="O44" s="802"/>
      <c r="P44" s="802"/>
      <c r="Q44" s="802"/>
      <c r="R44" s="802"/>
      <c r="S44" s="498" t="s">
        <v>251</v>
      </c>
      <c r="T44" s="498"/>
      <c r="U44" s="806"/>
      <c r="V44" s="806" t="n">
        <f aca="false">V46*0.02*1000</f>
        <v>0</v>
      </c>
      <c r="W44" s="498" t="s">
        <v>248</v>
      </c>
    </row>
    <row r="45" customFormat="false" ht="15" hidden="false" customHeight="true" outlineLevel="0" collapsed="false">
      <c r="A45" s="796" t="s">
        <v>360</v>
      </c>
      <c r="B45" s="799"/>
      <c r="C45" s="816"/>
      <c r="D45" s="799" t="s">
        <v>361</v>
      </c>
      <c r="E45" s="816"/>
      <c r="F45" s="769" t="s">
        <v>30</v>
      </c>
      <c r="G45" s="818"/>
      <c r="H45" s="818"/>
      <c r="I45" s="769" t="s">
        <v>21</v>
      </c>
      <c r="J45" s="813" t="s">
        <v>368</v>
      </c>
      <c r="K45" s="813"/>
      <c r="L45" s="813"/>
      <c r="M45" s="802"/>
      <c r="N45" s="802"/>
      <c r="O45" s="802"/>
      <c r="P45" s="802"/>
      <c r="Q45" s="802"/>
      <c r="R45" s="802"/>
      <c r="S45" s="498" t="s">
        <v>252</v>
      </c>
      <c r="T45" s="498"/>
      <c r="U45" s="806"/>
      <c r="V45" s="806" t="n">
        <f aca="false">V46</f>
        <v>0</v>
      </c>
      <c r="W45" s="498" t="s">
        <v>244</v>
      </c>
    </row>
    <row r="46" customFormat="false" ht="15" hidden="false" customHeight="true" outlineLevel="0" collapsed="false">
      <c r="A46" s="796" t="s">
        <v>360</v>
      </c>
      <c r="B46" s="799"/>
      <c r="C46" s="816"/>
      <c r="D46" s="799" t="s">
        <v>361</v>
      </c>
      <c r="E46" s="816"/>
      <c r="F46" s="769" t="s">
        <v>30</v>
      </c>
      <c r="G46" s="818"/>
      <c r="H46" s="818"/>
      <c r="I46" s="769" t="s">
        <v>21</v>
      </c>
      <c r="J46" s="813" t="s">
        <v>368</v>
      </c>
      <c r="K46" s="813"/>
      <c r="L46" s="813"/>
      <c r="M46" s="802"/>
      <c r="N46" s="802"/>
      <c r="O46" s="802"/>
      <c r="P46" s="802"/>
      <c r="Q46" s="802"/>
      <c r="R46" s="802"/>
      <c r="S46" s="819" t="s">
        <v>253</v>
      </c>
      <c r="T46" s="820"/>
      <c r="U46" s="821"/>
      <c r="V46" s="821" t="n">
        <f aca="false">'Recept-voorblad'!$E$90*(V35/100*100)</f>
        <v>0</v>
      </c>
      <c r="W46" s="820" t="s">
        <v>244</v>
      </c>
    </row>
    <row r="47" customFormat="false" ht="15" hidden="false" customHeight="true" outlineLevel="0" collapsed="false">
      <c r="A47" s="796" t="s">
        <v>360</v>
      </c>
      <c r="B47" s="799"/>
      <c r="C47" s="816"/>
      <c r="D47" s="799" t="s">
        <v>361</v>
      </c>
      <c r="E47" s="816"/>
      <c r="F47" s="769" t="s">
        <v>30</v>
      </c>
      <c r="G47" s="818"/>
      <c r="H47" s="818"/>
      <c r="I47" s="769" t="s">
        <v>21</v>
      </c>
      <c r="J47" s="813" t="s">
        <v>368</v>
      </c>
      <c r="K47" s="813"/>
      <c r="L47" s="813"/>
      <c r="M47" s="802"/>
      <c r="N47" s="802"/>
      <c r="O47" s="802"/>
      <c r="P47" s="802"/>
      <c r="Q47" s="802"/>
      <c r="R47" s="802"/>
      <c r="S47" s="703"/>
      <c r="T47" s="498"/>
      <c r="U47" s="498"/>
      <c r="V47" s="498"/>
      <c r="W47" s="498"/>
    </row>
    <row r="48" customFormat="false" ht="15" hidden="false" customHeight="true" outlineLevel="0" collapsed="false">
      <c r="A48" s="796" t="s">
        <v>360</v>
      </c>
      <c r="B48" s="799"/>
      <c r="C48" s="816"/>
      <c r="D48" s="799" t="s">
        <v>361</v>
      </c>
      <c r="E48" s="816"/>
      <c r="F48" s="769" t="s">
        <v>30</v>
      </c>
      <c r="G48" s="818"/>
      <c r="H48" s="818"/>
      <c r="I48" s="769" t="s">
        <v>21</v>
      </c>
      <c r="J48" s="813" t="s">
        <v>368</v>
      </c>
      <c r="K48" s="813"/>
      <c r="L48" s="813"/>
      <c r="M48" s="802"/>
      <c r="N48" s="802"/>
      <c r="O48" s="802"/>
      <c r="P48" s="802"/>
      <c r="Q48" s="802"/>
      <c r="R48" s="802"/>
      <c r="S48" s="498"/>
      <c r="T48" s="636" t="s">
        <v>376</v>
      </c>
      <c r="U48" s="806"/>
      <c r="V48" s="806"/>
      <c r="W48" s="498"/>
    </row>
    <row r="49" customFormat="false" ht="15" hidden="false" customHeight="true" outlineLevel="0" collapsed="false">
      <c r="A49" s="796" t="s">
        <v>360</v>
      </c>
      <c r="B49" s="799"/>
      <c r="C49" s="816"/>
      <c r="D49" s="799" t="s">
        <v>361</v>
      </c>
      <c r="E49" s="816"/>
      <c r="F49" s="769" t="s">
        <v>30</v>
      </c>
      <c r="G49" s="818"/>
      <c r="H49" s="818"/>
      <c r="I49" s="769" t="s">
        <v>21</v>
      </c>
      <c r="J49" s="813" t="s">
        <v>368</v>
      </c>
      <c r="K49" s="813"/>
      <c r="L49" s="813"/>
      <c r="M49" s="802"/>
      <c r="N49" s="802"/>
      <c r="O49" s="802"/>
      <c r="P49" s="802"/>
      <c r="Q49" s="802"/>
      <c r="R49" s="802"/>
      <c r="S49" s="498" t="s">
        <v>365</v>
      </c>
      <c r="T49" s="498"/>
      <c r="U49" s="803" t="n">
        <v>12</v>
      </c>
      <c r="V49" s="803" t="n">
        <v>120</v>
      </c>
      <c r="W49" s="498" t="s">
        <v>361</v>
      </c>
    </row>
    <row r="50" customFormat="false" ht="15" hidden="false" customHeight="true" outlineLevel="0" collapsed="false">
      <c r="A50" s="796" t="s">
        <v>360</v>
      </c>
      <c r="B50" s="799"/>
      <c r="C50" s="816"/>
      <c r="D50" s="799" t="s">
        <v>361</v>
      </c>
      <c r="E50" s="816"/>
      <c r="F50" s="769" t="s">
        <v>30</v>
      </c>
      <c r="G50" s="818"/>
      <c r="H50" s="818"/>
      <c r="I50" s="769" t="s">
        <v>21</v>
      </c>
      <c r="J50" s="813" t="s">
        <v>368</v>
      </c>
      <c r="K50" s="813"/>
      <c r="L50" s="813"/>
      <c r="M50" s="802"/>
      <c r="N50" s="802"/>
      <c r="O50" s="802"/>
      <c r="P50" s="802"/>
      <c r="Q50" s="802"/>
      <c r="R50" s="802"/>
      <c r="S50" s="498" t="s">
        <v>367</v>
      </c>
      <c r="T50" s="498"/>
      <c r="U50" s="498"/>
      <c r="V50" s="806" t="e">
        <f aca="false">VLOOKUP("*Nagardo*",'Recept-voorblad'!$A$89:$H$93,5,FALSE())</f>
        <v>#N/A</v>
      </c>
      <c r="W50" s="498" t="s">
        <v>246</v>
      </c>
    </row>
    <row r="51" customFormat="false" ht="15" hidden="false" customHeight="true" outlineLevel="0" collapsed="false">
      <c r="A51" s="796" t="s">
        <v>360</v>
      </c>
      <c r="B51" s="822"/>
      <c r="C51" s="816"/>
      <c r="D51" s="822" t="s">
        <v>361</v>
      </c>
      <c r="E51" s="816"/>
      <c r="F51" s="758" t="s">
        <v>30</v>
      </c>
      <c r="G51" s="818"/>
      <c r="H51" s="818"/>
      <c r="I51" s="758" t="s">
        <v>21</v>
      </c>
      <c r="J51" s="813" t="s">
        <v>368</v>
      </c>
      <c r="K51" s="813"/>
      <c r="L51" s="813"/>
      <c r="M51" s="802"/>
      <c r="N51" s="802"/>
      <c r="O51" s="802"/>
      <c r="P51" s="802"/>
      <c r="Q51" s="802"/>
      <c r="R51" s="802"/>
      <c r="S51" s="498" t="s">
        <v>247</v>
      </c>
      <c r="T51" s="498"/>
      <c r="U51" s="498"/>
      <c r="V51" s="807" t="e">
        <f aca="false">V49*V50/1000*100</f>
        <v>#N/A</v>
      </c>
      <c r="W51" s="498" t="s">
        <v>248</v>
      </c>
    </row>
    <row r="52" customFormat="false" ht="15" hidden="false" customHeight="true" outlineLevel="0" collapsed="false">
      <c r="A52" s="796" t="s">
        <v>360</v>
      </c>
      <c r="B52" s="799"/>
      <c r="C52" s="810"/>
      <c r="D52" s="799" t="s">
        <v>361</v>
      </c>
      <c r="E52" s="810"/>
      <c r="F52" s="769" t="s">
        <v>30</v>
      </c>
      <c r="G52" s="812"/>
      <c r="H52" s="812"/>
      <c r="I52" s="769" t="s">
        <v>21</v>
      </c>
      <c r="J52" s="813" t="s">
        <v>368</v>
      </c>
      <c r="K52" s="813"/>
      <c r="L52" s="813"/>
      <c r="M52" s="802"/>
      <c r="N52" s="802"/>
      <c r="O52" s="802"/>
      <c r="P52" s="802"/>
      <c r="Q52" s="802"/>
      <c r="R52" s="802"/>
      <c r="S52" s="498" t="s">
        <v>249</v>
      </c>
      <c r="T52" s="498"/>
      <c r="V52" s="808" t="e">
        <f aca="false">V51/(1000*0.01)</f>
        <v>#N/A</v>
      </c>
      <c r="W52" s="498" t="s">
        <v>244</v>
      </c>
    </row>
    <row r="53" customFormat="false" ht="15" hidden="false" customHeight="true" outlineLevel="0" collapsed="false">
      <c r="A53" s="796" t="s">
        <v>360</v>
      </c>
      <c r="B53" s="796"/>
      <c r="C53" s="805"/>
      <c r="D53" s="796" t="s">
        <v>361</v>
      </c>
      <c r="E53" s="805"/>
      <c r="F53" s="823" t="s">
        <v>30</v>
      </c>
      <c r="G53" s="824"/>
      <c r="H53" s="824"/>
      <c r="I53" s="769" t="s">
        <v>21</v>
      </c>
      <c r="J53" s="813" t="s">
        <v>368</v>
      </c>
      <c r="K53" s="813"/>
      <c r="L53" s="813"/>
      <c r="M53" s="802"/>
      <c r="N53" s="802"/>
      <c r="O53" s="802"/>
      <c r="P53" s="802"/>
      <c r="Q53" s="802"/>
      <c r="R53" s="802"/>
      <c r="S53" s="498" t="s">
        <v>369</v>
      </c>
      <c r="T53" s="498"/>
      <c r="U53" s="815" t="s">
        <v>370</v>
      </c>
      <c r="V53" s="815" t="s">
        <v>371</v>
      </c>
      <c r="W53" s="498"/>
    </row>
    <row r="54" customFormat="false" ht="15" hidden="false" customHeight="true" outlineLevel="0" collapsed="false">
      <c r="A54" s="796" t="s">
        <v>360</v>
      </c>
      <c r="B54" s="758"/>
      <c r="C54" s="825"/>
      <c r="D54" s="822" t="s">
        <v>361</v>
      </c>
      <c r="E54" s="826"/>
      <c r="F54" s="758" t="s">
        <v>30</v>
      </c>
      <c r="G54" s="826"/>
      <c r="H54" s="826"/>
      <c r="I54" s="823" t="s">
        <v>21</v>
      </c>
      <c r="J54" s="813" t="s">
        <v>368</v>
      </c>
      <c r="K54" s="813"/>
      <c r="L54" s="813"/>
      <c r="M54" s="827"/>
      <c r="N54" s="827"/>
      <c r="O54" s="827"/>
      <c r="P54" s="827"/>
      <c r="Q54" s="827"/>
      <c r="R54" s="827"/>
      <c r="S54" s="498" t="s">
        <v>372</v>
      </c>
      <c r="T54" s="498"/>
      <c r="U54" s="817"/>
      <c r="V54" s="803" t="s">
        <v>373</v>
      </c>
    </row>
    <row r="55" s="829" customFormat="true" ht="15" hidden="false" customHeight="true" outlineLevel="0" collapsed="false">
      <c r="A55" s="828"/>
      <c r="B55" s="828"/>
      <c r="C55" s="828"/>
      <c r="D55" s="828"/>
      <c r="E55" s="828"/>
      <c r="F55" s="828"/>
      <c r="G55" s="828"/>
      <c r="H55" s="828"/>
      <c r="I55" s="828"/>
      <c r="J55" s="828"/>
      <c r="K55" s="828"/>
      <c r="L55" s="828"/>
      <c r="M55" s="828"/>
      <c r="N55" s="828"/>
      <c r="O55" s="828"/>
      <c r="P55" s="828"/>
      <c r="Q55" s="828"/>
      <c r="R55" s="828"/>
      <c r="S55" s="498" t="s">
        <v>374</v>
      </c>
      <c r="T55" s="498"/>
      <c r="U55" s="817"/>
      <c r="V55" s="803" t="s">
        <v>373</v>
      </c>
      <c r="W55" s="498"/>
    </row>
    <row r="56" customFormat="false" ht="15.75" hidden="false" customHeight="true" outlineLevel="0" collapsed="false">
      <c r="A56" s="830" t="s">
        <v>377</v>
      </c>
      <c r="B56" s="830"/>
      <c r="C56" s="830"/>
      <c r="D56" s="830"/>
      <c r="E56" s="830"/>
      <c r="F56" s="830"/>
      <c r="G56" s="830"/>
      <c r="H56" s="830"/>
      <c r="I56" s="830"/>
      <c r="J56" s="830"/>
      <c r="K56" s="830"/>
      <c r="L56" s="830"/>
      <c r="M56" s="830"/>
      <c r="N56" s="830"/>
      <c r="O56" s="830"/>
      <c r="P56" s="830"/>
      <c r="Q56" s="830"/>
      <c r="R56" s="830"/>
      <c r="S56" s="498" t="s">
        <v>375</v>
      </c>
      <c r="T56" s="498"/>
      <c r="U56" s="817"/>
      <c r="V56" s="803" t="s">
        <v>373</v>
      </c>
      <c r="W56" s="498"/>
    </row>
    <row r="57" customFormat="false" ht="15" hidden="false" customHeight="true" outlineLevel="0" collapsed="false">
      <c r="A57" s="831"/>
      <c r="B57" s="831"/>
      <c r="C57" s="831"/>
      <c r="D57" s="832"/>
      <c r="E57" s="833"/>
      <c r="F57" s="833"/>
      <c r="G57" s="741" t="s">
        <v>315</v>
      </c>
      <c r="H57" s="741"/>
      <c r="I57" s="739" t="s">
        <v>316</v>
      </c>
      <c r="J57" s="739"/>
      <c r="K57" s="834" t="s">
        <v>358</v>
      </c>
      <c r="L57" s="834"/>
      <c r="M57" s="834"/>
      <c r="N57" s="834"/>
      <c r="O57" s="834"/>
      <c r="P57" s="834"/>
      <c r="Q57" s="834"/>
      <c r="R57" s="834"/>
      <c r="S57" s="636"/>
      <c r="T57" s="636" t="s">
        <v>250</v>
      </c>
      <c r="U57" s="640"/>
      <c r="V57" s="640"/>
      <c r="W57" s="636"/>
    </row>
    <row r="58" customFormat="false" ht="15" hidden="false" customHeight="true" outlineLevel="0" collapsed="false">
      <c r="A58" s="828" t="s">
        <v>378</v>
      </c>
      <c r="B58" s="828"/>
      <c r="C58" s="828"/>
      <c r="D58" s="835"/>
      <c r="E58" s="836"/>
      <c r="F58" s="778" t="s">
        <v>361</v>
      </c>
      <c r="G58" s="760"/>
      <c r="H58" s="765" t="s">
        <v>30</v>
      </c>
      <c r="I58" s="837"/>
      <c r="J58" s="765" t="s">
        <v>21</v>
      </c>
      <c r="K58" s="777"/>
      <c r="L58" s="777"/>
      <c r="M58" s="777"/>
      <c r="N58" s="777"/>
      <c r="O58" s="777"/>
      <c r="P58" s="777"/>
      <c r="Q58" s="777"/>
      <c r="R58" s="777"/>
      <c r="S58" s="498" t="s">
        <v>251</v>
      </c>
      <c r="T58" s="498"/>
      <c r="U58" s="806"/>
      <c r="V58" s="806" t="n">
        <f aca="false">V60*0.02*1000</f>
        <v>0</v>
      </c>
      <c r="W58" s="498" t="s">
        <v>248</v>
      </c>
    </row>
    <row r="59" customFormat="false" ht="15" hidden="false" customHeight="true" outlineLevel="0" collapsed="false">
      <c r="A59" s="828" t="s">
        <v>378</v>
      </c>
      <c r="B59" s="828"/>
      <c r="C59" s="828"/>
      <c r="D59" s="835"/>
      <c r="E59" s="836"/>
      <c r="F59" s="778" t="s">
        <v>361</v>
      </c>
      <c r="G59" s="778"/>
      <c r="H59" s="765" t="s">
        <v>30</v>
      </c>
      <c r="I59" s="838"/>
      <c r="J59" s="839" t="s">
        <v>21</v>
      </c>
      <c r="K59" s="777"/>
      <c r="L59" s="777"/>
      <c r="M59" s="777"/>
      <c r="N59" s="777"/>
      <c r="O59" s="777"/>
      <c r="P59" s="777"/>
      <c r="Q59" s="777"/>
      <c r="R59" s="777"/>
      <c r="S59" s="498" t="s">
        <v>252</v>
      </c>
      <c r="T59" s="498"/>
      <c r="U59" s="806"/>
      <c r="V59" s="806" t="n">
        <f aca="false">V60</f>
        <v>0</v>
      </c>
      <c r="W59" s="498" t="s">
        <v>244</v>
      </c>
    </row>
    <row r="60" customFormat="false" ht="15" hidden="false" customHeight="true" outlineLevel="0" collapsed="false">
      <c r="A60" s="828" t="s">
        <v>378</v>
      </c>
      <c r="B60" s="828"/>
      <c r="C60" s="828"/>
      <c r="D60" s="835"/>
      <c r="E60" s="836"/>
      <c r="F60" s="778" t="s">
        <v>361</v>
      </c>
      <c r="G60" s="778"/>
      <c r="H60" s="840" t="s">
        <v>30</v>
      </c>
      <c r="I60" s="838"/>
      <c r="J60" s="841" t="s">
        <v>21</v>
      </c>
      <c r="K60" s="777"/>
      <c r="L60" s="777"/>
      <c r="M60" s="777"/>
      <c r="N60" s="777"/>
      <c r="O60" s="777"/>
      <c r="P60" s="777"/>
      <c r="Q60" s="777"/>
      <c r="R60" s="777"/>
      <c r="S60" s="703" t="s">
        <v>253</v>
      </c>
      <c r="T60" s="498"/>
      <c r="U60" s="806"/>
      <c r="V60" s="806" t="n">
        <f aca="false">'Recept-voorblad'!$E$90*(V49/100*100)</f>
        <v>0</v>
      </c>
      <c r="W60" s="498" t="s">
        <v>244</v>
      </c>
    </row>
    <row r="61" customFormat="false" ht="15" hidden="false" customHeight="true" outlineLevel="0" collapsed="false">
      <c r="A61" s="828" t="s">
        <v>378</v>
      </c>
      <c r="B61" s="828"/>
      <c r="C61" s="828"/>
      <c r="D61" s="835"/>
      <c r="E61" s="836"/>
      <c r="F61" s="778" t="s">
        <v>361</v>
      </c>
      <c r="G61" s="778"/>
      <c r="H61" s="840" t="s">
        <v>30</v>
      </c>
      <c r="I61" s="838"/>
      <c r="J61" s="841" t="s">
        <v>21</v>
      </c>
      <c r="K61" s="777"/>
      <c r="L61" s="777"/>
      <c r="M61" s="777"/>
      <c r="N61" s="777"/>
      <c r="O61" s="777"/>
      <c r="P61" s="777"/>
      <c r="Q61" s="777"/>
      <c r="R61" s="777"/>
      <c r="S61" s="48"/>
      <c r="T61" s="48"/>
      <c r="U61" s="48"/>
      <c r="V61" s="48"/>
      <c r="W61" s="48"/>
    </row>
    <row r="62" customFormat="false" ht="15" hidden="false" customHeight="true" outlineLevel="0" collapsed="false">
      <c r="A62" s="498"/>
      <c r="B62" s="498"/>
      <c r="C62" s="498"/>
      <c r="D62" s="498"/>
      <c r="E62" s="498"/>
      <c r="F62" s="498"/>
      <c r="G62" s="498"/>
      <c r="H62" s="498"/>
      <c r="I62" s="498"/>
      <c r="J62" s="498"/>
      <c r="K62" s="842" t="s">
        <v>379</v>
      </c>
      <c r="L62" s="842"/>
      <c r="M62" s="842"/>
      <c r="N62" s="842"/>
      <c r="O62" s="842"/>
      <c r="P62" s="842"/>
      <c r="Q62" s="842"/>
      <c r="R62" s="843" t="s">
        <v>380</v>
      </c>
      <c r="S62" s="48"/>
      <c r="T62" s="48"/>
      <c r="U62" s="48"/>
      <c r="V62" s="48"/>
      <c r="W62" s="48"/>
    </row>
    <row r="63" s="498" customFormat="true" ht="15" hidden="false" customHeight="true" outlineLevel="0" collapsed="false">
      <c r="A63" s="844" t="s">
        <v>381</v>
      </c>
      <c r="B63" s="844"/>
      <c r="C63" s="844"/>
      <c r="D63" s="845" t="n">
        <f aca="false">SUM(E58:E61)</f>
        <v>0</v>
      </c>
      <c r="E63" s="845"/>
      <c r="F63" s="844" t="s">
        <v>361</v>
      </c>
      <c r="G63" s="844"/>
      <c r="S63" s="48"/>
      <c r="T63" s="48"/>
      <c r="U63" s="48"/>
      <c r="V63" s="48"/>
      <c r="W63" s="48"/>
    </row>
    <row r="64" s="498" customFormat="true" ht="15" hidden="false" customHeight="true" outlineLevel="0" collapsed="false">
      <c r="A64" s="844"/>
      <c r="B64" s="844"/>
      <c r="C64" s="844"/>
      <c r="D64" s="845"/>
      <c r="E64" s="845"/>
      <c r="F64" s="844"/>
      <c r="G64" s="844"/>
      <c r="N64" s="498" t="s">
        <v>382</v>
      </c>
      <c r="S64" s="48"/>
      <c r="T64" s="48"/>
      <c r="U64" s="48"/>
      <c r="V64" s="48"/>
      <c r="W64" s="48"/>
    </row>
    <row r="65" s="498" customFormat="true" ht="15" hidden="false" customHeight="true" outlineLevel="0" collapsed="false">
      <c r="S65" s="48"/>
      <c r="T65" s="48"/>
      <c r="U65" s="48"/>
      <c r="V65" s="48"/>
      <c r="W65" s="48"/>
    </row>
    <row r="66" s="498" customFormat="true" ht="15" hidden="false" customHeight="true" outlineLevel="0" collapsed="false">
      <c r="S66" s="48"/>
      <c r="T66" s="48"/>
      <c r="U66" s="48"/>
      <c r="V66" s="48"/>
      <c r="W66" s="48"/>
    </row>
    <row r="67" s="498" customFormat="true" ht="15" hidden="false" customHeight="true" outlineLevel="0" collapsed="false"/>
    <row r="68" s="498" customFormat="true" ht="15" hidden="false" customHeight="true" outlineLevel="0" collapsed="false"/>
    <row r="69" s="498" customFormat="true" ht="15" hidden="false" customHeight="true" outlineLevel="0" collapsed="false"/>
    <row r="70" s="498" customFormat="true" ht="15" hidden="false" customHeight="true" outlineLevel="0" collapsed="false"/>
    <row r="71" s="498" customFormat="true" ht="15" hidden="false" customHeight="true" outlineLevel="0" collapsed="false"/>
    <row r="72" s="498" customFormat="true" ht="15" hidden="false" customHeight="true" outlineLevel="0" collapsed="false"/>
    <row r="73" s="498" customFormat="true" ht="15" hidden="false" customHeight="true" outlineLevel="0" collapsed="false"/>
    <row r="74" s="498" customFormat="true" ht="15" hidden="false" customHeight="true" outlineLevel="0" collapsed="false"/>
    <row r="75" s="498" customFormat="true" ht="15" hidden="false" customHeight="true" outlineLevel="0" collapsed="false"/>
    <row r="76" s="498" customFormat="true" ht="15" hidden="false" customHeight="true" outlineLevel="0" collapsed="false"/>
    <row r="77" s="498" customFormat="true" ht="15" hidden="false" customHeight="true" outlineLevel="0" collapsed="false"/>
    <row r="78" s="498" customFormat="true" ht="15" hidden="false" customHeight="true" outlineLevel="0" collapsed="false"/>
    <row r="79" s="498" customFormat="true" ht="15" hidden="false" customHeight="true" outlineLevel="0" collapsed="false"/>
    <row r="80" s="498" customFormat="true" ht="15" hidden="false" customHeight="true" outlineLevel="0" collapsed="false"/>
    <row r="81" s="498" customFormat="true" ht="15" hidden="false" customHeight="true" outlineLevel="0" collapsed="false"/>
    <row r="82" s="498" customFormat="true" ht="15" hidden="false" customHeight="true" outlineLevel="0" collapsed="false"/>
    <row r="83" s="498" customFormat="true" ht="15" hidden="false" customHeight="true" outlineLevel="0" collapsed="false"/>
    <row r="84" s="498" customFormat="true" ht="15" hidden="false" customHeight="true" outlineLevel="0" collapsed="false"/>
    <row r="85" s="498" customFormat="true" ht="15" hidden="false" customHeight="true" outlineLevel="0" collapsed="false"/>
    <row r="86" s="498" customFormat="true" ht="15" hidden="false" customHeight="true" outlineLevel="0" collapsed="false"/>
    <row r="87" s="498" customFormat="true" ht="15" hidden="false" customHeight="true" outlineLevel="0" collapsed="false"/>
    <row r="88" s="498" customFormat="true" ht="15" hidden="false" customHeight="true" outlineLevel="0" collapsed="false"/>
    <row r="89" s="498" customFormat="true" ht="15" hidden="false" customHeight="true" outlineLevel="0" collapsed="false"/>
    <row r="90" s="498" customFormat="true" ht="15" hidden="false" customHeight="true" outlineLevel="0" collapsed="false"/>
    <row r="91" s="498" customFormat="true" ht="15" hidden="false" customHeight="true" outlineLevel="0" collapsed="false"/>
    <row r="92" s="498" customFormat="true" ht="15" hidden="false" customHeight="true" outlineLevel="0" collapsed="false"/>
    <row r="93" s="498" customFormat="true" ht="15" hidden="false" customHeight="true" outlineLevel="0" collapsed="false"/>
    <row r="94" s="498" customFormat="true" ht="15" hidden="false" customHeight="true" outlineLevel="0" collapsed="false"/>
    <row r="95" s="498" customFormat="true" ht="15" hidden="false" customHeight="true" outlineLevel="0" collapsed="false"/>
    <row r="96" s="498" customFormat="true" ht="15" hidden="false" customHeight="true" outlineLevel="0" collapsed="false"/>
    <row r="97" s="498" customFormat="true" ht="15" hidden="false" customHeight="true" outlineLevel="0" collapsed="false"/>
    <row r="98" s="498" customFormat="true" ht="15" hidden="false" customHeight="true" outlineLevel="0" collapsed="false"/>
    <row r="99" s="498" customFormat="true" ht="15" hidden="false" customHeight="true" outlineLevel="0" collapsed="false"/>
    <row r="100" s="498" customFormat="true" ht="15" hidden="false" customHeight="true" outlineLevel="0" collapsed="false"/>
    <row r="101" s="498" customFormat="true" ht="15" hidden="false" customHeight="true" outlineLevel="0" collapsed="false"/>
    <row r="102" s="498" customFormat="true" ht="15" hidden="false" customHeight="true" outlineLevel="0" collapsed="false"/>
    <row r="103" s="498" customFormat="true" ht="15" hidden="false" customHeight="true" outlineLevel="0" collapsed="false"/>
    <row r="104" s="498" customFormat="true" ht="15" hidden="false" customHeight="true" outlineLevel="0" collapsed="false"/>
    <row r="105" s="498" customFormat="true" ht="15" hidden="false" customHeight="true" outlineLevel="0" collapsed="false"/>
    <row r="106" s="498" customFormat="true" ht="15" hidden="false" customHeight="true" outlineLevel="0" collapsed="false"/>
    <row r="107" s="498" customFormat="true" ht="15" hidden="false" customHeight="true" outlineLevel="0" collapsed="false"/>
    <row r="108" s="498" customFormat="true" ht="15" hidden="false" customHeight="true" outlineLevel="0" collapsed="false"/>
    <row r="109" s="498" customFormat="true" ht="15" hidden="false" customHeight="true" outlineLevel="0" collapsed="false"/>
    <row r="110" s="498" customFormat="true" ht="15" hidden="false" customHeight="true" outlineLevel="0" collapsed="false"/>
    <row r="111" s="498" customFormat="true" ht="15" hidden="false" customHeight="true" outlineLevel="0" collapsed="false"/>
    <row r="112" s="498" customFormat="true" ht="15" hidden="false" customHeight="true" outlineLevel="0" collapsed="false"/>
    <row r="113" s="498" customFormat="true" ht="15" hidden="false" customHeight="true" outlineLevel="0" collapsed="false"/>
    <row r="114" s="498" customFormat="true" ht="15" hidden="false" customHeight="true" outlineLevel="0" collapsed="false"/>
    <row r="115" s="498" customFormat="true" ht="15" hidden="false" customHeight="true" outlineLevel="0" collapsed="false"/>
    <row r="116" s="498" customFormat="true" ht="15" hidden="false" customHeight="true" outlineLevel="0" collapsed="false"/>
    <row r="117" s="498" customFormat="true" ht="15" hidden="false" customHeight="true" outlineLevel="0" collapsed="false"/>
    <row r="118" s="498" customFormat="true" ht="15" hidden="false" customHeight="true" outlineLevel="0" collapsed="false"/>
    <row r="119" s="498" customFormat="true" ht="15" hidden="false" customHeight="true" outlineLevel="0" collapsed="false"/>
    <row r="120" s="498" customFormat="true" ht="15" hidden="false" customHeight="true" outlineLevel="0" collapsed="false"/>
    <row r="121" s="498" customFormat="true" ht="15" hidden="false" customHeight="true" outlineLevel="0" collapsed="false"/>
    <row r="122" s="498" customFormat="true" ht="15" hidden="false" customHeight="true" outlineLevel="0" collapsed="false"/>
    <row r="123" s="498" customFormat="true" ht="15" hidden="false" customHeight="true" outlineLevel="0" collapsed="false"/>
    <row r="124" s="498" customFormat="true" ht="15" hidden="false" customHeight="true" outlineLevel="0" collapsed="false"/>
    <row r="125" s="498" customFormat="true" ht="15" hidden="false" customHeight="true" outlineLevel="0" collapsed="false"/>
    <row r="126" s="498" customFormat="true" ht="15" hidden="false" customHeight="true" outlineLevel="0" collapsed="false"/>
    <row r="127" s="498" customFormat="true" ht="15" hidden="false" customHeight="true" outlineLevel="0" collapsed="false"/>
    <row r="128" s="498" customFormat="true" ht="15" hidden="false" customHeight="true" outlineLevel="0" collapsed="false"/>
    <row r="129" s="498" customFormat="true" ht="15" hidden="false" customHeight="true" outlineLevel="0" collapsed="false"/>
    <row r="130" s="498" customFormat="true" ht="15" hidden="false" customHeight="true" outlineLevel="0" collapsed="false"/>
    <row r="131" s="498" customFormat="true" ht="15" hidden="false" customHeight="true" outlineLevel="0" collapsed="false"/>
    <row r="132" s="498" customFormat="true" ht="15" hidden="false" customHeight="true" outlineLevel="0" collapsed="false"/>
    <row r="133" s="498" customFormat="true" ht="15" hidden="false" customHeight="true" outlineLevel="0" collapsed="false"/>
    <row r="134" s="498" customFormat="true" ht="15" hidden="false" customHeight="true" outlineLevel="0" collapsed="false"/>
    <row r="135" s="498" customFormat="true" ht="15" hidden="false" customHeight="true" outlineLevel="0" collapsed="false"/>
    <row r="136" s="498" customFormat="true" ht="15" hidden="false" customHeight="true" outlineLevel="0" collapsed="false"/>
    <row r="137" s="498" customFormat="true" ht="15" hidden="false" customHeight="true" outlineLevel="0" collapsed="false"/>
    <row r="138" s="498" customFormat="true" ht="15" hidden="false" customHeight="true" outlineLevel="0" collapsed="false"/>
    <row r="139" s="498" customFormat="true" ht="15" hidden="false" customHeight="true" outlineLevel="0" collapsed="false"/>
    <row r="140" s="498" customFormat="true" ht="15" hidden="false" customHeight="true" outlineLevel="0" collapsed="false"/>
    <row r="141" s="498" customFormat="true" ht="15" hidden="false" customHeight="true" outlineLevel="0" collapsed="false"/>
    <row r="142" s="498" customFormat="true" ht="15" hidden="false" customHeight="true" outlineLevel="0" collapsed="false"/>
    <row r="143" s="498" customFormat="true" ht="15" hidden="false" customHeight="true" outlineLevel="0" collapsed="false"/>
    <row r="144" s="498" customFormat="true" ht="15" hidden="false" customHeight="true" outlineLevel="0" collapsed="false"/>
    <row r="145" s="498" customFormat="true" ht="15" hidden="false" customHeight="true" outlineLevel="0" collapsed="false"/>
    <row r="146" s="498" customFormat="true" ht="15" hidden="false" customHeight="true" outlineLevel="0" collapsed="false"/>
    <row r="147" s="498" customFormat="true" ht="15" hidden="false" customHeight="true" outlineLevel="0" collapsed="false"/>
    <row r="148" s="498" customFormat="true" ht="15" hidden="false" customHeight="true" outlineLevel="0" collapsed="false"/>
    <row r="149" s="498" customFormat="true" ht="15" hidden="false" customHeight="true" outlineLevel="0" collapsed="false"/>
    <row r="150" s="498" customFormat="true" ht="15" hidden="false" customHeight="true" outlineLevel="0" collapsed="false"/>
    <row r="151" s="498" customFormat="true" ht="15" hidden="false" customHeight="true" outlineLevel="0" collapsed="false"/>
    <row r="152" s="498" customFormat="true" ht="15" hidden="false" customHeight="true" outlineLevel="0" collapsed="false"/>
    <row r="153" s="498" customFormat="true" ht="15" hidden="false" customHeight="true" outlineLevel="0" collapsed="false"/>
    <row r="154" s="498" customFormat="true" ht="15" hidden="false" customHeight="true" outlineLevel="0" collapsed="false"/>
    <row r="155" s="498" customFormat="true" ht="15" hidden="false" customHeight="true" outlineLevel="0" collapsed="false"/>
    <row r="156" s="498" customFormat="true" ht="15" hidden="false" customHeight="true" outlineLevel="0" collapsed="false"/>
    <row r="157" s="498" customFormat="true" ht="15" hidden="false" customHeight="true" outlineLevel="0" collapsed="false"/>
    <row r="158" s="498" customFormat="true" ht="15" hidden="false" customHeight="true" outlineLevel="0" collapsed="false"/>
    <row r="159" s="498" customFormat="true" ht="15" hidden="false" customHeight="true" outlineLevel="0" collapsed="false"/>
    <row r="160" s="498" customFormat="true" ht="15" hidden="false" customHeight="true" outlineLevel="0" collapsed="false"/>
    <row r="161" s="498" customFormat="true" ht="15" hidden="false" customHeight="true" outlineLevel="0" collapsed="false"/>
    <row r="162" s="498" customFormat="true" ht="15" hidden="false" customHeight="true" outlineLevel="0" collapsed="false"/>
    <row r="163" s="498" customFormat="true" ht="15" hidden="false" customHeight="true" outlineLevel="0" collapsed="false"/>
    <row r="164" s="498" customFormat="true" ht="15" hidden="false" customHeight="true" outlineLevel="0" collapsed="false"/>
    <row r="165" s="498" customFormat="true" ht="15" hidden="false" customHeight="true" outlineLevel="0" collapsed="false"/>
    <row r="166" s="498" customFormat="true" ht="15" hidden="false" customHeight="true" outlineLevel="0" collapsed="false"/>
    <row r="167" s="498" customFormat="true" ht="15" hidden="false" customHeight="true" outlineLevel="0" collapsed="false"/>
    <row r="168" s="498" customFormat="true" ht="15" hidden="false" customHeight="true" outlineLevel="0" collapsed="false"/>
    <row r="169" s="498" customFormat="true" ht="15" hidden="false" customHeight="true" outlineLevel="0" collapsed="false"/>
    <row r="170" s="498" customFormat="true" ht="15" hidden="false" customHeight="true" outlineLevel="0" collapsed="false"/>
    <row r="171" s="498" customFormat="true" ht="15" hidden="false" customHeight="true" outlineLevel="0" collapsed="false"/>
    <row r="172" s="498" customFormat="true" ht="15" hidden="false" customHeight="true" outlineLevel="0" collapsed="false"/>
    <row r="173" s="498" customFormat="true" ht="15" hidden="false" customHeight="true" outlineLevel="0" collapsed="false"/>
    <row r="174" s="498" customFormat="true" ht="15" hidden="false" customHeight="true" outlineLevel="0" collapsed="false"/>
    <row r="175" s="498" customFormat="true" ht="15" hidden="false" customHeight="true" outlineLevel="0" collapsed="false"/>
    <row r="176" s="498" customFormat="true" ht="15" hidden="false" customHeight="true" outlineLevel="0" collapsed="false"/>
    <row r="177" s="498" customFormat="true" ht="15" hidden="false" customHeight="true" outlineLevel="0" collapsed="false"/>
    <row r="178" s="498" customFormat="true" ht="15" hidden="false" customHeight="true" outlineLevel="0" collapsed="false"/>
    <row r="179" s="498" customFormat="true" ht="15" hidden="false" customHeight="true" outlineLevel="0" collapsed="false"/>
    <row r="180" s="498" customFormat="true" ht="15" hidden="false" customHeight="true" outlineLevel="0" collapsed="false"/>
    <row r="181" s="498" customFormat="true" ht="15" hidden="false" customHeight="true" outlineLevel="0" collapsed="false"/>
    <row r="182" s="498" customFormat="true" ht="15" hidden="false" customHeight="true" outlineLevel="0" collapsed="false"/>
    <row r="183" s="498" customFormat="true" ht="15" hidden="false" customHeight="true" outlineLevel="0" collapsed="false"/>
    <row r="184" s="498" customFormat="true" ht="15" hidden="false" customHeight="true" outlineLevel="0" collapsed="false"/>
    <row r="185" s="498" customFormat="true" ht="15" hidden="false" customHeight="true" outlineLevel="0" collapsed="false"/>
    <row r="186" s="498" customFormat="true" ht="15" hidden="false" customHeight="true" outlineLevel="0" collapsed="false"/>
    <row r="187" s="498" customFormat="true" ht="15" hidden="false" customHeight="true" outlineLevel="0" collapsed="false"/>
    <row r="188" s="498" customFormat="true" ht="15" hidden="false" customHeight="true" outlineLevel="0" collapsed="false"/>
    <row r="189" s="498" customFormat="true" ht="15" hidden="false" customHeight="true" outlineLevel="0" collapsed="false"/>
    <row r="190" s="498" customFormat="true" ht="15" hidden="false" customHeight="true" outlineLevel="0" collapsed="false"/>
    <row r="191" s="498" customFormat="true" ht="15" hidden="false" customHeight="true" outlineLevel="0" collapsed="false"/>
    <row r="192" s="498" customFormat="true" ht="15" hidden="false" customHeight="true" outlineLevel="0" collapsed="false"/>
    <row r="193" s="498" customFormat="true" ht="15" hidden="false" customHeight="true" outlineLevel="0" collapsed="false"/>
    <row r="194" s="498" customFormat="true" ht="15" hidden="false" customHeight="true" outlineLevel="0" collapsed="false"/>
    <row r="195" s="498" customFormat="true" ht="15" hidden="false" customHeight="true" outlineLevel="0" collapsed="false"/>
    <row r="196" s="498" customFormat="true" ht="15" hidden="false" customHeight="true" outlineLevel="0" collapsed="false"/>
    <row r="197" s="498" customFormat="true" ht="15" hidden="false" customHeight="true" outlineLevel="0" collapsed="false"/>
    <row r="198" s="498" customFormat="true" ht="15" hidden="false" customHeight="true" outlineLevel="0" collapsed="false"/>
    <row r="199" s="498" customFormat="true" ht="15" hidden="false" customHeight="true" outlineLevel="0" collapsed="false"/>
    <row r="200" s="498" customFormat="true" ht="15" hidden="false" customHeight="true" outlineLevel="0" collapsed="false"/>
    <row r="201" s="498" customFormat="true" ht="15" hidden="false" customHeight="true" outlineLevel="0" collapsed="false"/>
    <row r="202" s="498" customFormat="true" ht="15" hidden="false" customHeight="true" outlineLevel="0" collapsed="false"/>
    <row r="203" s="498" customFormat="true" ht="15" hidden="false" customHeight="true" outlineLevel="0" collapsed="false"/>
    <row r="204" s="498" customFormat="true" ht="15" hidden="false" customHeight="true" outlineLevel="0" collapsed="false"/>
    <row r="205" s="498" customFormat="true" ht="15" hidden="false" customHeight="true" outlineLevel="0" collapsed="false"/>
    <row r="206" s="498" customFormat="true" ht="15" hidden="false" customHeight="true" outlineLevel="0" collapsed="false"/>
    <row r="207" s="498" customFormat="true" ht="15" hidden="false" customHeight="true" outlineLevel="0" collapsed="false"/>
    <row r="208" s="498" customFormat="true" ht="15" hidden="false" customHeight="true" outlineLevel="0" collapsed="false"/>
    <row r="209" s="498" customFormat="true" ht="15" hidden="false" customHeight="true" outlineLevel="0" collapsed="false"/>
    <row r="210" s="498" customFormat="true" ht="15" hidden="false" customHeight="true" outlineLevel="0" collapsed="false"/>
    <row r="211" s="498" customFormat="true" ht="15" hidden="false" customHeight="true" outlineLevel="0" collapsed="false"/>
    <row r="212" s="498" customFormat="true" ht="15" hidden="false" customHeight="true" outlineLevel="0" collapsed="false"/>
    <row r="213" s="498" customFormat="true" ht="15" hidden="false" customHeight="true" outlineLevel="0" collapsed="false"/>
    <row r="214" s="498" customFormat="true" ht="15" hidden="false" customHeight="true" outlineLevel="0" collapsed="false"/>
    <row r="215" s="498" customFormat="true" ht="15" hidden="false" customHeight="true" outlineLevel="0" collapsed="false"/>
    <row r="216" s="498" customFormat="true" ht="15" hidden="false" customHeight="true" outlineLevel="0" collapsed="false"/>
    <row r="217" s="498" customFormat="true" ht="15" hidden="false" customHeight="true" outlineLevel="0" collapsed="false"/>
    <row r="218" s="498" customFormat="true" ht="15" hidden="false" customHeight="true" outlineLevel="0" collapsed="false"/>
    <row r="219" s="498" customFormat="true" ht="15" hidden="false" customHeight="true" outlineLevel="0" collapsed="false"/>
    <row r="220" s="498" customFormat="true" ht="15" hidden="false" customHeight="true" outlineLevel="0" collapsed="false"/>
    <row r="221" s="498" customFormat="true" ht="15" hidden="false" customHeight="true" outlineLevel="0" collapsed="false"/>
    <row r="222" s="498" customFormat="true" ht="15" hidden="false" customHeight="true" outlineLevel="0" collapsed="false"/>
    <row r="223" s="498" customFormat="true" ht="15" hidden="false" customHeight="true" outlineLevel="0" collapsed="false"/>
    <row r="224" s="498" customFormat="true" ht="15" hidden="false" customHeight="true" outlineLevel="0" collapsed="false"/>
    <row r="225" s="498" customFormat="true" ht="15" hidden="false" customHeight="true" outlineLevel="0" collapsed="false"/>
    <row r="226" s="498" customFormat="true" ht="15" hidden="false" customHeight="true" outlineLevel="0" collapsed="false"/>
    <row r="227" s="498" customFormat="true" ht="15" hidden="false" customHeight="true" outlineLevel="0" collapsed="false"/>
    <row r="228" s="498" customFormat="true" ht="15" hidden="false" customHeight="true" outlineLevel="0" collapsed="false"/>
    <row r="229" s="498" customFormat="true" ht="15" hidden="false" customHeight="true" outlineLevel="0" collapsed="false"/>
    <row r="230" s="498" customFormat="true" ht="15" hidden="false" customHeight="true" outlineLevel="0" collapsed="false"/>
    <row r="231" s="498" customFormat="true" ht="15" hidden="false" customHeight="true" outlineLevel="0" collapsed="false"/>
    <row r="232" s="498" customFormat="true" ht="15" hidden="false" customHeight="true" outlineLevel="0" collapsed="false"/>
    <row r="233" s="498" customFormat="true" ht="15" hidden="false" customHeight="true" outlineLevel="0" collapsed="false"/>
    <row r="234" s="498" customFormat="true" ht="15" hidden="false" customHeight="true" outlineLevel="0" collapsed="false"/>
    <row r="235" s="498" customFormat="true" ht="15" hidden="false" customHeight="true" outlineLevel="0" collapsed="false"/>
  </sheetData>
  <mergeCells count="182">
    <mergeCell ref="A1:R2"/>
    <mergeCell ref="A3:B4"/>
    <mergeCell ref="C3:H4"/>
    <mergeCell ref="I3:K4"/>
    <mergeCell ref="L3:O4"/>
    <mergeCell ref="A5:O5"/>
    <mergeCell ref="P5:R5"/>
    <mergeCell ref="E6:F6"/>
    <mergeCell ref="H6:L6"/>
    <mergeCell ref="P6:R9"/>
    <mergeCell ref="A7:C7"/>
    <mergeCell ref="E7:F7"/>
    <mergeCell ref="H7:L7"/>
    <mergeCell ref="A8:C8"/>
    <mergeCell ref="E8:F8"/>
    <mergeCell ref="H8:L8"/>
    <mergeCell ref="A9:C9"/>
    <mergeCell ref="E9:F9"/>
    <mergeCell ref="H9:L9"/>
    <mergeCell ref="A10:R10"/>
    <mergeCell ref="A11:B11"/>
    <mergeCell ref="D11:E11"/>
    <mergeCell ref="F11:G11"/>
    <mergeCell ref="H11:M11"/>
    <mergeCell ref="N11:R11"/>
    <mergeCell ref="A12:C12"/>
    <mergeCell ref="H12:M12"/>
    <mergeCell ref="N12:O12"/>
    <mergeCell ref="P12:R12"/>
    <mergeCell ref="A13:R13"/>
    <mergeCell ref="A14:C14"/>
    <mergeCell ref="D14:H14"/>
    <mergeCell ref="I14:O14"/>
    <mergeCell ref="P14:R14"/>
    <mergeCell ref="D15:H15"/>
    <mergeCell ref="I15:O15"/>
    <mergeCell ref="P15:R15"/>
    <mergeCell ref="A16:C16"/>
    <mergeCell ref="D16:H16"/>
    <mergeCell ref="I16:O16"/>
    <mergeCell ref="P16:R16"/>
    <mergeCell ref="A17:R17"/>
    <mergeCell ref="A18:C18"/>
    <mergeCell ref="D18:F18"/>
    <mergeCell ref="G18:I18"/>
    <mergeCell ref="J18:R18"/>
    <mergeCell ref="A19:C19"/>
    <mergeCell ref="D19:F19"/>
    <mergeCell ref="G19:I19"/>
    <mergeCell ref="J19:R19"/>
    <mergeCell ref="A20:C20"/>
    <mergeCell ref="D20:E20"/>
    <mergeCell ref="G20:H20"/>
    <mergeCell ref="J20:K20"/>
    <mergeCell ref="M20:N20"/>
    <mergeCell ref="O20:P20"/>
    <mergeCell ref="Q20:R20"/>
    <mergeCell ref="A21:C21"/>
    <mergeCell ref="D21:E21"/>
    <mergeCell ref="G21:H21"/>
    <mergeCell ref="J21:L21"/>
    <mergeCell ref="M21:O21"/>
    <mergeCell ref="P21:Q21"/>
    <mergeCell ref="A22:C22"/>
    <mergeCell ref="D22:E22"/>
    <mergeCell ref="G22:H22"/>
    <mergeCell ref="J22:L22"/>
    <mergeCell ref="M22:O22"/>
    <mergeCell ref="P22:Q22"/>
    <mergeCell ref="A23:C23"/>
    <mergeCell ref="D23:E23"/>
    <mergeCell ref="G23:H23"/>
    <mergeCell ref="J23:L23"/>
    <mergeCell ref="M23:O23"/>
    <mergeCell ref="P23:Q23"/>
    <mergeCell ref="A24:C24"/>
    <mergeCell ref="D24:E24"/>
    <mergeCell ref="G24:H24"/>
    <mergeCell ref="J24:L24"/>
    <mergeCell ref="M24:O24"/>
    <mergeCell ref="P24:Q24"/>
    <mergeCell ref="D25:E25"/>
    <mergeCell ref="G25:I25"/>
    <mergeCell ref="J25:K25"/>
    <mergeCell ref="M25:O25"/>
    <mergeCell ref="P25:Q25"/>
    <mergeCell ref="A26:B26"/>
    <mergeCell ref="C26:R26"/>
    <mergeCell ref="A27:B27"/>
    <mergeCell ref="C27:R27"/>
    <mergeCell ref="A28:B28"/>
    <mergeCell ref="C28:R28"/>
    <mergeCell ref="A29:B29"/>
    <mergeCell ref="C29:R29"/>
    <mergeCell ref="A30:B30"/>
    <mergeCell ref="C30:R30"/>
    <mergeCell ref="A31:B31"/>
    <mergeCell ref="C31:P31"/>
    <mergeCell ref="A32:R32"/>
    <mergeCell ref="M33:R33"/>
    <mergeCell ref="G34:H34"/>
    <mergeCell ref="J34:L34"/>
    <mergeCell ref="M34:R34"/>
    <mergeCell ref="G35:H35"/>
    <mergeCell ref="J35:L35"/>
    <mergeCell ref="M35:R35"/>
    <mergeCell ref="G36:H36"/>
    <mergeCell ref="J36:L36"/>
    <mergeCell ref="M36:R36"/>
    <mergeCell ref="G37:H37"/>
    <mergeCell ref="J37:L37"/>
    <mergeCell ref="M37:R37"/>
    <mergeCell ref="G38:H38"/>
    <mergeCell ref="J38:L38"/>
    <mergeCell ref="M38:R38"/>
    <mergeCell ref="G39:H39"/>
    <mergeCell ref="J39:L39"/>
    <mergeCell ref="M39:R39"/>
    <mergeCell ref="G40:H40"/>
    <mergeCell ref="J40:L40"/>
    <mergeCell ref="M40:R40"/>
    <mergeCell ref="G41:H41"/>
    <mergeCell ref="J41:L41"/>
    <mergeCell ref="M41:R41"/>
    <mergeCell ref="G42:H42"/>
    <mergeCell ref="J42:L42"/>
    <mergeCell ref="M42:R42"/>
    <mergeCell ref="G43:H43"/>
    <mergeCell ref="J43:L43"/>
    <mergeCell ref="M43:R43"/>
    <mergeCell ref="G44:H44"/>
    <mergeCell ref="J44:L44"/>
    <mergeCell ref="M44:R44"/>
    <mergeCell ref="G45:H45"/>
    <mergeCell ref="J45:L45"/>
    <mergeCell ref="M45:R45"/>
    <mergeCell ref="G46:H46"/>
    <mergeCell ref="J46:L46"/>
    <mergeCell ref="M46:R46"/>
    <mergeCell ref="G47:H47"/>
    <mergeCell ref="J47:L47"/>
    <mergeCell ref="M47:R47"/>
    <mergeCell ref="G48:H48"/>
    <mergeCell ref="J48:L48"/>
    <mergeCell ref="M48:R48"/>
    <mergeCell ref="G49:H49"/>
    <mergeCell ref="J49:L49"/>
    <mergeCell ref="M49:R49"/>
    <mergeCell ref="G50:H50"/>
    <mergeCell ref="J50:L50"/>
    <mergeCell ref="M50:R50"/>
    <mergeCell ref="G51:H51"/>
    <mergeCell ref="J51:L51"/>
    <mergeCell ref="M51:R51"/>
    <mergeCell ref="G52:H52"/>
    <mergeCell ref="J52:L52"/>
    <mergeCell ref="M52:R52"/>
    <mergeCell ref="G53:H53"/>
    <mergeCell ref="J53:L53"/>
    <mergeCell ref="M53:R53"/>
    <mergeCell ref="G54:H54"/>
    <mergeCell ref="J54:L54"/>
    <mergeCell ref="M54:R54"/>
    <mergeCell ref="A55:R55"/>
    <mergeCell ref="A56:R56"/>
    <mergeCell ref="A57:C57"/>
    <mergeCell ref="E57:F57"/>
    <mergeCell ref="G57:H57"/>
    <mergeCell ref="I57:J57"/>
    <mergeCell ref="K57:R57"/>
    <mergeCell ref="A58:C58"/>
    <mergeCell ref="K58:R58"/>
    <mergeCell ref="A59:C59"/>
    <mergeCell ref="K59:R59"/>
    <mergeCell ref="A60:C60"/>
    <mergeCell ref="K60:R60"/>
    <mergeCell ref="A61:C61"/>
    <mergeCell ref="K61:R61"/>
    <mergeCell ref="K62:Q62"/>
    <mergeCell ref="A63:C64"/>
    <mergeCell ref="D63:E64"/>
    <mergeCell ref="F63:G64"/>
  </mergeCells>
  <conditionalFormatting sqref="S33:W60">
    <cfRule type="expression" priority="2" aboveAverage="0" equalAverage="0" bottom="0" percent="0" rank="0" text="" dxfId="22">
      <formula>NOT($C$3="Nonnetje IPA")</formula>
    </cfRule>
  </conditionalFormatting>
  <conditionalFormatting sqref="S15:W25">
    <cfRule type="expression" priority="3" aboveAverage="0" equalAverage="0" bottom="0" percent="0" rank="0" text="" dxfId="23">
      <formula>NOT($C$3="Super Dupa")</formula>
    </cfRule>
  </conditionalFormatting>
  <conditionalFormatting sqref="P6:R9">
    <cfRule type="containsText" priority="4" operator="containsText" aboveAverage="0" equalAverage="0" bottom="0" percent="0" rank="0" text="suiker en gevaarlijk" dxfId="5">
      <formula>NOT(ISERROR(SEARCH("suiker en gevaarlijk",P6)))</formula>
    </cfRule>
    <cfRule type="containsText" priority="5" operator="containsText" aboveAverage="0" equalAverage="0" bottom="0" percent="0" rank="0" text="suikerhoudend" dxfId="24">
      <formula>NOT(ISERROR(SEARCH("suikerhoudend",P6)))</formula>
    </cfRule>
    <cfRule type="containsText" priority="6" operator="containsText" aboveAverage="0" equalAverage="0" bottom="0" percent="0" rank="0" text="Gevaarlijk" dxfId="7">
      <formula>NOT(ISERROR(SEARCH("Gevaarlijk",P6)))</formula>
    </cfRule>
    <cfRule type="containsText" priority="7" operator="containsText" aboveAverage="0" equalAverage="0" bottom="0" percent="0" rank="0" text="Standaard" dxfId="8">
      <formula>NOT(ISERROR(SEARCH("Standaard",P6)))</formula>
    </cfRule>
    <cfRule type="containsText" priority="8" operator="containsText" aboveAverage="0" equalAverage="0" bottom="0" percent="0" rank="0" text="Gevoelig" dxfId="9">
      <formula>NOT(ISERROR(SEARCH("Gevoelig",P6)))</formula>
    </cfRule>
  </conditionalFormatting>
  <conditionalFormatting sqref="C28:R28">
    <cfRule type="cellIs" priority="9" operator="equal" aboveAverage="0" equalAverage="0" bottom="0" percent="0" rank="0" text="" dxfId="25">
      <formula>""" """</formula>
    </cfRule>
  </conditionalFormatting>
  <conditionalFormatting sqref="C27:R27">
    <cfRule type="cellIs" priority="10" operator="equal" aboveAverage="0" equalAverage="0" bottom="0" percent="0" rank="0" text="" dxfId="25">
      <formula>""" """</formula>
    </cfRule>
  </conditionalFormatting>
  <conditionalFormatting sqref="G20:H20">
    <cfRule type="cellIs" priority="11" operator="greaterThan" aboveAverage="0" equalAverage="0" bottom="0" percent="0" rank="0" text="" dxfId="12">
      <formula>$E$9</formula>
    </cfRule>
  </conditionalFormatting>
  <conditionalFormatting sqref="P25:Q25">
    <cfRule type="cellIs" priority="12" operator="equal" aboveAverage="0" equalAverage="0" bottom="0" percent="0" rank="0" text="" dxfId="14">
      <formula>0</formula>
    </cfRule>
    <cfRule type="cellIs" priority="13" operator="notBetween" aboveAverage="0" equalAverage="0" bottom="0" percent="0" rank="0" text="" dxfId="12">
      <formula>$E$7+$G$7</formula>
      <formula>$E$7-$G$7</formula>
    </cfRule>
  </conditionalFormatting>
  <conditionalFormatting sqref="D25:E25">
    <cfRule type="cellIs" priority="14" operator="equal" aboveAverage="0" equalAverage="0" bottom="0" percent="0" rank="0" text="" dxfId="14">
      <formula>0</formula>
    </cfRule>
    <cfRule type="cellIs" priority="15" operator="notBetween" aboveAverage="0" equalAverage="0" bottom="0" percent="0" rank="0" text="" dxfId="12">
      <formula>$E$8+$G$8</formula>
      <formula>$E$8-$G$8</formula>
    </cfRule>
  </conditionalFormatting>
  <conditionalFormatting sqref="E34:E54">
    <cfRule type="cellIs" priority="16" operator="greaterThan" aboveAverage="0" equalAverage="0" bottom="0" percent="0" rank="0" text="" dxfId="12">
      <formula>$E$9</formula>
    </cfRule>
  </conditionalFormatting>
  <conditionalFormatting sqref="D20:E21">
    <cfRule type="cellIs" priority="17" operator="greaterThan" aboveAverage="0" equalAverage="0" bottom="0" percent="0" rank="0" text="" dxfId="12">
      <formula>$E$9</formula>
    </cfRule>
  </conditionalFormatting>
  <conditionalFormatting sqref="G58:G61">
    <cfRule type="cellIs" priority="18" operator="greaterThan" aboveAverage="0" equalAverage="0" bottom="0" percent="0" rank="0" text="" dxfId="12">
      <formula>$E$9</formula>
    </cfRule>
  </conditionalFormatting>
  <dataValidations count="6">
    <dataValidation allowBlank="true" errorStyle="stop" operator="between" showDropDown="false" showErrorMessage="true" showInputMessage="true" sqref="G18" type="list">
      <formula1>"Bodemklep,Standpijp"</formula1>
      <formula2>0</formula2>
    </dataValidation>
    <dataValidation allowBlank="true" errorStyle="stop" operator="between" showDropDown="false" showErrorMessage="true" showInputMessage="true" sqref="R62" type="list">
      <formula1>"yes,no"</formula1>
      <formula2>0</formula2>
    </dataValidation>
    <dataValidation allowBlank="true" errorStyle="stop" operator="between" showDropDown="false" showErrorMessage="true" showInputMessage="true" sqref="J34:L54" type="list">
      <formula1>"Fill in,Bottle,KEG,Can"</formula1>
      <formula2>0</formula2>
    </dataValidation>
    <dataValidation allowBlank="true" errorStyle="stop" operator="between" showDropDown="false" showErrorMessage="true" showInputMessage="true" sqref="R31" type="list">
      <formula1>"-,Go,Not Go"</formula1>
      <formula2>0</formula2>
    </dataValidation>
    <dataValidation allowBlank="true" errorStyle="stop" operator="between" showDropDown="false" showErrorMessage="true" showInputMessage="true" sqref="V40:V42 V54:V56" type="list">
      <formula1>"Yes,No"</formula1>
      <formula2>0</formula2>
    </dataValidation>
    <dataValidation allowBlank="true" errorStyle="stop" operator="between" showDropDown="false" showErrorMessage="true" showInputMessage="true" sqref="U35 U49" type="list">
      <formula1>"11,12,13,14,15,16,17,18"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4"/>
  <sheetViews>
    <sheetView showFormulas="false" showGridLines="true" showRowColHeaders="true" showZeros="true" rightToLeft="false" tabSelected="false" showOutlineSymbols="true" defaultGridColor="true" view="normal" topLeftCell="A14" colorId="64" zoomScale="70" zoomScaleNormal="70" zoomScalePageLayoutView="100" workbookViewId="0">
      <selection pane="topLeft" activeCell="I43" activeCellId="0" sqref="I43"/>
    </sheetView>
  </sheetViews>
  <sheetFormatPr defaultColWidth="8.00390625" defaultRowHeight="12.75" zeroHeight="true" outlineLevelRow="0" outlineLevelCol="0"/>
  <cols>
    <col collapsed="false" customWidth="true" hidden="false" outlineLevel="0" max="1" min="1" style="250" width="13"/>
    <col collapsed="false" customWidth="true" hidden="false" outlineLevel="0" max="2" min="2" style="250" width="6.62"/>
    <col collapsed="false" customWidth="true" hidden="false" outlineLevel="0" max="3" min="3" style="250" width="28.63"/>
    <col collapsed="false" customWidth="true" hidden="false" outlineLevel="0" max="4" min="4" style="250" width="13.62"/>
    <col collapsed="false" customWidth="true" hidden="false" outlineLevel="0" max="5" min="5" style="250" width="15.5"/>
    <col collapsed="false" customWidth="true" hidden="false" outlineLevel="0" max="6" min="6" style="250" width="7.62"/>
    <col collapsed="false" customWidth="true" hidden="false" outlineLevel="0" max="7" min="7" style="250" width="5.12"/>
    <col collapsed="false" customWidth="true" hidden="false" outlineLevel="0" max="8" min="8" style="248" width="1.12"/>
    <col collapsed="false" customWidth="true" hidden="false" outlineLevel="0" max="9" min="9" style="250" width="20.12"/>
    <col collapsed="false" customWidth="true" hidden="false" outlineLevel="0" max="10" min="10" style="250" width="5.12"/>
    <col collapsed="false" customWidth="true" hidden="false" outlineLevel="0" max="11" min="11" style="250" width="8.62"/>
    <col collapsed="false" customWidth="true" hidden="false" outlineLevel="0" max="12" min="12" style="846" width="7"/>
    <col collapsed="false" customWidth="true" hidden="false" outlineLevel="0" max="18" min="13" style="846" width="8.62"/>
    <col collapsed="false" customWidth="true" hidden="false" outlineLevel="0" max="19" min="19" style="250" width="3.5"/>
    <col collapsed="false" customWidth="true" hidden="false" outlineLevel="0" max="20" min="20" style="250" width="10.62"/>
    <col collapsed="false" customWidth="true" hidden="false" outlineLevel="0" max="21" min="21" style="250" width="11.12"/>
    <col collapsed="false" customWidth="false" hidden="false" outlineLevel="0" max="22" min="22" style="250" width="8"/>
    <col collapsed="false" customWidth="false" hidden="true" outlineLevel="0" max="16384" min="23" style="250" width="8"/>
  </cols>
  <sheetData>
    <row r="1" s="21" customFormat="true" ht="15" hidden="false" customHeight="true" outlineLevel="0" collapsed="false">
      <c r="A1" s="694" t="s">
        <v>383</v>
      </c>
      <c r="B1" s="694"/>
      <c r="C1" s="694"/>
      <c r="D1" s="694"/>
      <c r="E1" s="694"/>
      <c r="F1" s="694"/>
      <c r="G1" s="694"/>
      <c r="H1" s="694"/>
      <c r="I1" s="694"/>
      <c r="J1" s="694"/>
      <c r="K1" s="694"/>
      <c r="L1" s="694"/>
      <c r="M1" s="694"/>
      <c r="N1" s="694"/>
      <c r="O1" s="694"/>
      <c r="P1" s="694"/>
      <c r="Q1" s="694"/>
      <c r="R1" s="694"/>
    </row>
    <row r="2" s="21" customFormat="true" ht="15" hidden="false" customHeight="true" outlineLevel="0" collapsed="false">
      <c r="A2" s="694"/>
      <c r="B2" s="694"/>
      <c r="C2" s="694"/>
      <c r="D2" s="694"/>
      <c r="E2" s="694"/>
      <c r="F2" s="694"/>
      <c r="G2" s="694"/>
      <c r="H2" s="694"/>
      <c r="I2" s="694"/>
      <c r="J2" s="694"/>
      <c r="K2" s="694"/>
      <c r="L2" s="694"/>
      <c r="M2" s="694"/>
      <c r="N2" s="694"/>
      <c r="O2" s="694"/>
      <c r="P2" s="694"/>
      <c r="Q2" s="694"/>
      <c r="R2" s="694"/>
    </row>
    <row r="3" s="21" customFormat="true" ht="15" hidden="false" customHeight="true" outlineLevel="0" collapsed="false">
      <c r="A3" s="847" t="s">
        <v>2</v>
      </c>
      <c r="B3" s="847"/>
      <c r="C3" s="257" t="n">
        <f aca="false">Verwerking!C3</f>
        <v>0</v>
      </c>
      <c r="D3" s="847" t="s">
        <v>296</v>
      </c>
      <c r="E3" s="848" t="n">
        <f aca="false">'Recept-voorblad'!K3</f>
        <v>26225</v>
      </c>
      <c r="F3" s="848"/>
      <c r="G3" s="848"/>
      <c r="H3" s="849"/>
      <c r="I3" s="850" t="s">
        <v>384</v>
      </c>
      <c r="J3" s="850"/>
      <c r="K3" s="850"/>
      <c r="L3" s="850"/>
      <c r="M3" s="850"/>
      <c r="N3" s="850"/>
      <c r="O3" s="850"/>
      <c r="P3" s="850"/>
      <c r="Q3" s="850"/>
      <c r="R3" s="850"/>
    </row>
    <row r="4" s="21" customFormat="true" ht="15" hidden="false" customHeight="true" outlineLevel="0" collapsed="false">
      <c r="A4" s="847"/>
      <c r="B4" s="847"/>
      <c r="C4" s="257"/>
      <c r="D4" s="257"/>
      <c r="E4" s="848"/>
      <c r="F4" s="848"/>
      <c r="G4" s="848"/>
      <c r="H4" s="849"/>
      <c r="I4" s="850"/>
      <c r="J4" s="850"/>
      <c r="K4" s="850"/>
      <c r="L4" s="850"/>
      <c r="M4" s="850"/>
      <c r="N4" s="850"/>
      <c r="O4" s="850"/>
      <c r="P4" s="850"/>
      <c r="Q4" s="850"/>
      <c r="R4" s="850"/>
    </row>
    <row r="5" s="21" customFormat="true" ht="15.75" hidden="false" customHeight="true" outlineLevel="0" collapsed="false">
      <c r="A5" s="851" t="s">
        <v>385</v>
      </c>
      <c r="B5" s="852"/>
      <c r="C5" s="852"/>
      <c r="D5" s="853" t="s">
        <v>386</v>
      </c>
      <c r="E5" s="854" t="s">
        <v>31</v>
      </c>
      <c r="F5" s="854"/>
      <c r="G5" s="854"/>
      <c r="H5" s="855"/>
      <c r="I5" s="856"/>
      <c r="J5" s="856"/>
      <c r="K5" s="856"/>
      <c r="L5" s="856"/>
      <c r="M5" s="857" t="s">
        <v>94</v>
      </c>
      <c r="N5" s="857" t="s">
        <v>94</v>
      </c>
      <c r="O5" s="857" t="s">
        <v>94</v>
      </c>
      <c r="P5" s="857" t="s">
        <v>94</v>
      </c>
      <c r="Q5" s="857" t="s">
        <v>94</v>
      </c>
      <c r="R5" s="857" t="s">
        <v>94</v>
      </c>
    </row>
    <row r="6" s="21" customFormat="true" ht="15.75" hidden="false" customHeight="true" outlineLevel="0" collapsed="false">
      <c r="A6" s="858" t="s">
        <v>387</v>
      </c>
      <c r="B6" s="858"/>
      <c r="C6" s="859"/>
      <c r="D6" s="860"/>
      <c r="E6" s="861" t="n">
        <f aca="false">'Recept-voorblad'!N17</f>
        <v>0</v>
      </c>
      <c r="F6" s="861"/>
      <c r="G6" s="861"/>
      <c r="H6" s="862"/>
      <c r="I6" s="856"/>
      <c r="J6" s="856"/>
      <c r="K6" s="856"/>
      <c r="L6" s="856"/>
      <c r="M6" s="863"/>
      <c r="N6" s="863"/>
      <c r="O6" s="863"/>
      <c r="P6" s="863"/>
      <c r="Q6" s="863"/>
      <c r="R6" s="863"/>
    </row>
    <row r="7" s="21" customFormat="true" ht="15.75" hidden="false" customHeight="true" outlineLevel="0" collapsed="false">
      <c r="A7" s="858" t="s">
        <v>388</v>
      </c>
      <c r="B7" s="858"/>
      <c r="C7" s="859"/>
      <c r="D7" s="860"/>
      <c r="E7" s="861"/>
      <c r="F7" s="861"/>
      <c r="G7" s="861"/>
      <c r="H7" s="862"/>
      <c r="I7" s="856"/>
      <c r="J7" s="856"/>
      <c r="K7" s="856"/>
      <c r="L7" s="856"/>
      <c r="M7" s="857" t="s">
        <v>389</v>
      </c>
      <c r="N7" s="857" t="s">
        <v>389</v>
      </c>
      <c r="O7" s="857" t="s">
        <v>389</v>
      </c>
      <c r="P7" s="857" t="s">
        <v>389</v>
      </c>
      <c r="Q7" s="857" t="s">
        <v>389</v>
      </c>
      <c r="R7" s="857" t="s">
        <v>389</v>
      </c>
    </row>
    <row r="8" s="21" customFormat="true" ht="15.75" hidden="false" customHeight="true" outlineLevel="0" collapsed="false">
      <c r="A8" s="858" t="s">
        <v>390</v>
      </c>
      <c r="B8" s="858"/>
      <c r="C8" s="859"/>
      <c r="D8" s="860"/>
      <c r="E8" s="861"/>
      <c r="F8" s="861"/>
      <c r="G8" s="861"/>
      <c r="H8" s="862"/>
      <c r="I8" s="856"/>
      <c r="J8" s="856"/>
      <c r="K8" s="856"/>
      <c r="L8" s="856"/>
      <c r="M8" s="864"/>
      <c r="N8" s="864"/>
      <c r="O8" s="864"/>
      <c r="P8" s="864"/>
      <c r="Q8" s="864"/>
      <c r="R8" s="864"/>
    </row>
    <row r="9" s="21" customFormat="true" ht="15.75" hidden="false" customHeight="true" outlineLevel="0" collapsed="false">
      <c r="A9" s="858" t="s">
        <v>391</v>
      </c>
      <c r="B9" s="858"/>
      <c r="C9" s="859"/>
      <c r="D9" s="860"/>
      <c r="E9" s="861"/>
      <c r="F9" s="861"/>
      <c r="G9" s="861"/>
      <c r="H9" s="862"/>
      <c r="I9" s="856"/>
      <c r="J9" s="856"/>
      <c r="K9" s="856"/>
      <c r="L9" s="856"/>
      <c r="M9" s="196" t="s">
        <v>392</v>
      </c>
      <c r="N9" s="196" t="s">
        <v>392</v>
      </c>
      <c r="O9" s="196" t="s">
        <v>392</v>
      </c>
      <c r="P9" s="196" t="s">
        <v>392</v>
      </c>
      <c r="Q9" s="196" t="s">
        <v>392</v>
      </c>
      <c r="R9" s="196" t="s">
        <v>392</v>
      </c>
    </row>
    <row r="10" s="21" customFormat="true" ht="15.75" hidden="false" customHeight="true" outlineLevel="0" collapsed="false">
      <c r="A10" s="858" t="s">
        <v>393</v>
      </c>
      <c r="B10" s="858"/>
      <c r="C10" s="865"/>
      <c r="D10" s="866"/>
      <c r="E10" s="861"/>
      <c r="F10" s="861"/>
      <c r="G10" s="861"/>
      <c r="H10" s="862"/>
      <c r="I10" s="856"/>
      <c r="J10" s="856"/>
      <c r="K10" s="856"/>
      <c r="L10" s="856"/>
      <c r="M10" s="867" t="n">
        <v>0</v>
      </c>
      <c r="N10" s="867" t="n">
        <v>0</v>
      </c>
      <c r="O10" s="867" t="n">
        <v>0</v>
      </c>
      <c r="P10" s="867" t="n">
        <v>0</v>
      </c>
      <c r="Q10" s="867" t="n">
        <v>0</v>
      </c>
      <c r="R10" s="867" t="n">
        <v>0</v>
      </c>
    </row>
    <row r="11" s="21" customFormat="true" ht="15.75" hidden="false" customHeight="true" outlineLevel="0" collapsed="false">
      <c r="A11" s="858" t="s">
        <v>394</v>
      </c>
      <c r="B11" s="858"/>
      <c r="C11" s="865"/>
      <c r="D11" s="866"/>
      <c r="H11" s="855"/>
      <c r="I11" s="856"/>
      <c r="J11" s="856"/>
      <c r="K11" s="856"/>
      <c r="L11" s="856"/>
      <c r="M11" s="868" t="s">
        <v>395</v>
      </c>
      <c r="N11" s="868" t="s">
        <v>395</v>
      </c>
      <c r="O11" s="868" t="s">
        <v>395</v>
      </c>
      <c r="P11" s="868" t="s">
        <v>395</v>
      </c>
      <c r="Q11" s="868" t="s">
        <v>395</v>
      </c>
      <c r="R11" s="868" t="s">
        <v>395</v>
      </c>
    </row>
    <row r="12" s="21" customFormat="true" ht="15.75" hidden="false" customHeight="true" outlineLevel="0" collapsed="false">
      <c r="A12" s="858" t="s">
        <v>396</v>
      </c>
      <c r="B12" s="858"/>
      <c r="C12" s="869"/>
      <c r="D12" s="866"/>
      <c r="H12" s="870"/>
      <c r="M12" s="867" t="n">
        <v>0</v>
      </c>
      <c r="N12" s="867" t="n">
        <v>0</v>
      </c>
      <c r="O12" s="867" t="n">
        <v>0</v>
      </c>
      <c r="P12" s="867" t="n">
        <v>0</v>
      </c>
      <c r="Q12" s="867" t="n">
        <v>0</v>
      </c>
      <c r="R12" s="867" t="n">
        <v>0</v>
      </c>
    </row>
    <row r="13" s="21" customFormat="true" ht="15" hidden="false" customHeight="true" outlineLevel="0" collapsed="false">
      <c r="A13" s="21" t="s">
        <v>397</v>
      </c>
      <c r="C13" s="869" t="n">
        <f aca="true">TODAY()-DATE(2023,12,31)</f>
        <v>941</v>
      </c>
      <c r="D13" s="866"/>
      <c r="H13" s="128"/>
      <c r="I13" s="871" t="s">
        <v>398</v>
      </c>
      <c r="J13" s="871"/>
      <c r="K13" s="871"/>
      <c r="L13" s="871"/>
      <c r="M13" s="872"/>
      <c r="N13" s="872"/>
      <c r="O13" s="872"/>
      <c r="P13" s="872"/>
      <c r="Q13" s="872"/>
      <c r="R13" s="873"/>
    </row>
    <row r="14" s="21" customFormat="true" ht="15.75" hidden="false" customHeight="true" outlineLevel="0" collapsed="false">
      <c r="A14" s="854" t="s">
        <v>399</v>
      </c>
      <c r="B14" s="854"/>
      <c r="C14" s="854"/>
      <c r="D14" s="854"/>
      <c r="E14" s="854"/>
      <c r="F14" s="854"/>
      <c r="G14" s="854"/>
      <c r="H14" s="128"/>
      <c r="I14" s="325"/>
      <c r="J14" s="325"/>
      <c r="K14" s="325"/>
      <c r="L14" s="416"/>
      <c r="M14" s="874"/>
      <c r="N14" s="874"/>
      <c r="O14" s="874"/>
      <c r="P14" s="874"/>
      <c r="Q14" s="874"/>
      <c r="R14" s="875"/>
      <c r="V14" s="21" t="s">
        <v>400</v>
      </c>
    </row>
    <row r="15" s="21" customFormat="true" ht="15" hidden="false" customHeight="true" outlineLevel="0" collapsed="false">
      <c r="A15" s="876" t="s">
        <v>401</v>
      </c>
      <c r="B15" s="876"/>
      <c r="C15" s="876"/>
      <c r="D15" s="876"/>
      <c r="E15" s="876"/>
      <c r="F15" s="876"/>
      <c r="G15" s="876"/>
      <c r="H15" s="128"/>
      <c r="I15" s="877"/>
      <c r="J15" s="877"/>
      <c r="K15" s="877"/>
      <c r="L15" s="426"/>
      <c r="M15" s="874"/>
      <c r="N15" s="874"/>
      <c r="O15" s="874"/>
      <c r="P15" s="874"/>
      <c r="Q15" s="874"/>
      <c r="R15" s="875"/>
    </row>
    <row r="16" s="21" customFormat="true" ht="15" hidden="false" customHeight="true" outlineLevel="0" collapsed="false">
      <c r="A16" s="878" t="s">
        <v>402</v>
      </c>
      <c r="B16" s="878"/>
      <c r="C16" s="774"/>
      <c r="D16" s="879" t="s">
        <v>403</v>
      </c>
      <c r="E16" s="774"/>
      <c r="F16" s="774"/>
      <c r="G16" s="774"/>
      <c r="H16" s="17"/>
      <c r="I16" s="880" t="s">
        <v>404</v>
      </c>
      <c r="J16" s="880"/>
      <c r="K16" s="880"/>
      <c r="L16" s="880"/>
      <c r="M16" s="874"/>
      <c r="N16" s="874"/>
      <c r="O16" s="874"/>
      <c r="P16" s="874"/>
      <c r="Q16" s="874"/>
      <c r="R16" s="875"/>
    </row>
    <row r="17" s="21" customFormat="true" ht="15" hidden="false" customHeight="true" outlineLevel="0" collapsed="false">
      <c r="A17" s="878" t="s">
        <v>405</v>
      </c>
      <c r="B17" s="878"/>
      <c r="C17" s="774"/>
      <c r="D17" s="879" t="s">
        <v>406</v>
      </c>
      <c r="E17" s="774"/>
      <c r="F17" s="774"/>
      <c r="G17" s="774"/>
      <c r="H17" s="870"/>
      <c r="I17" s="881" t="s">
        <v>407</v>
      </c>
      <c r="J17" s="881"/>
      <c r="K17" s="881"/>
      <c r="L17" s="881"/>
      <c r="M17" s="874"/>
      <c r="N17" s="874"/>
      <c r="O17" s="874"/>
      <c r="P17" s="874"/>
      <c r="Q17" s="874"/>
      <c r="R17" s="875"/>
    </row>
    <row r="18" s="21" customFormat="true" ht="15" hidden="false" customHeight="true" outlineLevel="0" collapsed="false">
      <c r="A18" s="878" t="s">
        <v>393</v>
      </c>
      <c r="B18" s="878"/>
      <c r="C18" s="774"/>
      <c r="D18" s="879" t="s">
        <v>408</v>
      </c>
      <c r="E18" s="774"/>
      <c r="F18" s="774"/>
      <c r="G18" s="774"/>
      <c r="H18" s="128"/>
      <c r="I18" s="880" t="s">
        <v>409</v>
      </c>
      <c r="J18" s="880"/>
      <c r="K18" s="880"/>
      <c r="L18" s="880"/>
      <c r="M18" s="874"/>
      <c r="N18" s="874"/>
      <c r="O18" s="874"/>
      <c r="P18" s="874"/>
      <c r="Q18" s="874"/>
      <c r="R18" s="875"/>
    </row>
    <row r="19" s="21" customFormat="true" ht="15" hidden="false" customHeight="true" outlineLevel="0" collapsed="false">
      <c r="A19" s="881" t="s">
        <v>410</v>
      </c>
      <c r="B19" s="881"/>
      <c r="C19" s="774"/>
      <c r="D19" s="882" t="s">
        <v>411</v>
      </c>
      <c r="E19" s="883"/>
      <c r="F19" s="883"/>
      <c r="G19" s="883"/>
      <c r="H19" s="128"/>
      <c r="I19" s="881" t="s">
        <v>412</v>
      </c>
      <c r="J19" s="881"/>
      <c r="K19" s="881"/>
      <c r="L19" s="881"/>
      <c r="M19" s="874"/>
      <c r="N19" s="874"/>
      <c r="O19" s="874"/>
      <c r="P19" s="874"/>
      <c r="Q19" s="874"/>
      <c r="R19" s="875"/>
    </row>
    <row r="20" s="21" customFormat="true" ht="15" hidden="false" customHeight="true" outlineLevel="0" collapsed="false">
      <c r="A20" s="876" t="s">
        <v>413</v>
      </c>
      <c r="B20" s="876"/>
      <c r="C20" s="876"/>
      <c r="D20" s="876"/>
      <c r="E20" s="876"/>
      <c r="F20" s="876"/>
      <c r="G20" s="876"/>
      <c r="H20" s="128"/>
      <c r="I20" s="880" t="s">
        <v>414</v>
      </c>
      <c r="J20" s="880"/>
      <c r="K20" s="880"/>
      <c r="L20" s="880"/>
      <c r="M20" s="874"/>
      <c r="N20" s="874"/>
      <c r="O20" s="874"/>
      <c r="P20" s="874"/>
      <c r="Q20" s="874"/>
      <c r="R20" s="875"/>
    </row>
    <row r="21" s="21" customFormat="true" ht="15" hidden="false" customHeight="true" outlineLevel="0" collapsed="false">
      <c r="A21" s="878" t="s">
        <v>402</v>
      </c>
      <c r="B21" s="878"/>
      <c r="C21" s="774"/>
      <c r="D21" s="879" t="s">
        <v>403</v>
      </c>
      <c r="E21" s="884"/>
      <c r="F21" s="885"/>
      <c r="G21" s="776"/>
      <c r="H21" s="17"/>
      <c r="I21" s="886" t="s">
        <v>415</v>
      </c>
      <c r="J21" s="886"/>
      <c r="K21" s="886"/>
      <c r="L21" s="886"/>
      <c r="M21" s="887" t="s">
        <v>416</v>
      </c>
      <c r="N21" s="887" t="s">
        <v>416</v>
      </c>
      <c r="O21" s="887" t="s">
        <v>416</v>
      </c>
      <c r="P21" s="887" t="s">
        <v>416</v>
      </c>
      <c r="Q21" s="887" t="s">
        <v>416</v>
      </c>
      <c r="R21" s="887" t="s">
        <v>416</v>
      </c>
      <c r="T21" s="21" t="s">
        <v>96</v>
      </c>
      <c r="U21" s="21" t="s">
        <v>96</v>
      </c>
      <c r="V21" s="21" t="s">
        <v>96</v>
      </c>
    </row>
    <row r="22" s="21" customFormat="true" ht="15" hidden="false" customHeight="true" outlineLevel="0" collapsed="false">
      <c r="A22" s="878" t="s">
        <v>405</v>
      </c>
      <c r="B22" s="878"/>
      <c r="C22" s="774"/>
      <c r="D22" s="879" t="s">
        <v>406</v>
      </c>
      <c r="E22" s="774"/>
      <c r="F22" s="774"/>
      <c r="G22" s="774"/>
      <c r="H22" s="870"/>
      <c r="T22" s="245" t="s">
        <v>96</v>
      </c>
      <c r="U22" s="245" t="s">
        <v>96</v>
      </c>
      <c r="V22" s="245" t="s">
        <v>96</v>
      </c>
    </row>
    <row r="23" s="21" customFormat="true" ht="15" hidden="false" customHeight="true" outlineLevel="0" collapsed="false">
      <c r="A23" s="878" t="s">
        <v>393</v>
      </c>
      <c r="B23" s="878"/>
      <c r="C23" s="774"/>
      <c r="D23" s="879" t="s">
        <v>408</v>
      </c>
      <c r="E23" s="774"/>
      <c r="F23" s="774"/>
      <c r="G23" s="774"/>
      <c r="H23" s="17"/>
      <c r="I23" s="888" t="s">
        <v>11</v>
      </c>
      <c r="J23" s="889" t="s">
        <v>417</v>
      </c>
      <c r="K23" s="889" t="s">
        <v>302</v>
      </c>
      <c r="L23" s="890" t="s">
        <v>13</v>
      </c>
      <c r="M23" s="891" t="s">
        <v>418</v>
      </c>
      <c r="N23" s="892" t="s">
        <v>418</v>
      </c>
      <c r="O23" s="892" t="s">
        <v>418</v>
      </c>
      <c r="P23" s="892" t="s">
        <v>418</v>
      </c>
      <c r="Q23" s="892" t="s">
        <v>418</v>
      </c>
      <c r="R23" s="892" t="s">
        <v>418</v>
      </c>
      <c r="T23" s="245" t="s">
        <v>419</v>
      </c>
      <c r="U23" s="893" t="s">
        <v>420</v>
      </c>
      <c r="V23" s="245" t="s">
        <v>96</v>
      </c>
    </row>
    <row r="24" s="21" customFormat="true" ht="15" hidden="false" customHeight="true" outlineLevel="0" collapsed="false">
      <c r="A24" s="881" t="s">
        <v>410</v>
      </c>
      <c r="B24" s="881"/>
      <c r="C24" s="774"/>
      <c r="D24" s="882" t="s">
        <v>411</v>
      </c>
      <c r="E24" s="883"/>
      <c r="F24" s="883"/>
      <c r="G24" s="883"/>
      <c r="H24" s="17"/>
      <c r="I24" s="284" t="s">
        <v>421</v>
      </c>
      <c r="J24" s="894"/>
      <c r="K24" s="895"/>
      <c r="L24" s="896"/>
      <c r="M24" s="897"/>
      <c r="N24" s="897"/>
      <c r="O24" s="897"/>
      <c r="P24" s="897"/>
      <c r="Q24" s="897"/>
      <c r="R24" s="897"/>
      <c r="T24" s="245" t="s">
        <v>422</v>
      </c>
      <c r="U24" s="898"/>
      <c r="V24" s="245" t="s">
        <v>79</v>
      </c>
    </row>
    <row r="25" s="21" customFormat="true" ht="15" hidden="false" customHeight="true" outlineLevel="0" collapsed="false">
      <c r="A25" s="876" t="s">
        <v>423</v>
      </c>
      <c r="B25" s="876"/>
      <c r="C25" s="876"/>
      <c r="D25" s="876"/>
      <c r="E25" s="876"/>
      <c r="F25" s="876"/>
      <c r="G25" s="876"/>
      <c r="H25" s="870"/>
      <c r="I25" s="302" t="s">
        <v>424</v>
      </c>
      <c r="J25" s="849" t="s">
        <v>425</v>
      </c>
      <c r="K25" s="47" t="n">
        <f aca="false">'Recept-voorblad'!$M$16+'Recept-voorblad'!$M$17</f>
        <v>0</v>
      </c>
      <c r="L25" s="899" t="s">
        <v>311</v>
      </c>
      <c r="M25" s="900"/>
      <c r="N25" s="900"/>
      <c r="O25" s="900"/>
      <c r="P25" s="900"/>
      <c r="Q25" s="900"/>
      <c r="R25" s="900"/>
      <c r="T25" s="245" t="s">
        <v>426</v>
      </c>
      <c r="U25" s="901"/>
      <c r="V25" s="245" t="s">
        <v>79</v>
      </c>
    </row>
    <row r="26" s="21" customFormat="true" ht="15" hidden="false" customHeight="true" outlineLevel="0" collapsed="false">
      <c r="A26" s="878" t="s">
        <v>402</v>
      </c>
      <c r="B26" s="878"/>
      <c r="C26" s="774"/>
      <c r="D26" s="879" t="s">
        <v>403</v>
      </c>
      <c r="E26" s="884"/>
      <c r="F26" s="885"/>
      <c r="G26" s="776"/>
      <c r="H26" s="902"/>
      <c r="I26" s="302" t="s">
        <v>427</v>
      </c>
      <c r="J26" s="849" t="s">
        <v>425</v>
      </c>
      <c r="K26" s="47" t="n">
        <f aca="false">'Recept-voorblad'!$M$16</f>
        <v>0</v>
      </c>
      <c r="L26" s="899" t="n">
        <f aca="false">'Recept-voorblad'!$L$16</f>
        <v>0</v>
      </c>
      <c r="M26" s="900"/>
      <c r="N26" s="900"/>
      <c r="O26" s="900"/>
      <c r="P26" s="900"/>
      <c r="Q26" s="900"/>
      <c r="R26" s="900"/>
      <c r="T26" s="245" t="s">
        <v>428</v>
      </c>
      <c r="U26" s="903"/>
      <c r="V26" s="245" t="s">
        <v>79</v>
      </c>
    </row>
    <row r="27" s="21" customFormat="true" ht="15" hidden="false" customHeight="true" outlineLevel="0" collapsed="false">
      <c r="A27" s="878" t="s">
        <v>405</v>
      </c>
      <c r="B27" s="878"/>
      <c r="C27" s="774"/>
      <c r="D27" s="879" t="s">
        <v>406</v>
      </c>
      <c r="E27" s="774"/>
      <c r="F27" s="774"/>
      <c r="G27" s="774"/>
      <c r="H27" s="902"/>
      <c r="I27" s="302" t="s">
        <v>429</v>
      </c>
      <c r="J27" s="849" t="s">
        <v>425</v>
      </c>
      <c r="K27" s="47" t="n">
        <f aca="false">'Recept-voorblad'!$M$17</f>
        <v>0</v>
      </c>
      <c r="L27" s="899"/>
      <c r="M27" s="900"/>
      <c r="N27" s="900"/>
      <c r="O27" s="900"/>
      <c r="P27" s="900"/>
      <c r="Q27" s="900"/>
      <c r="R27" s="900"/>
      <c r="T27" s="245" t="s">
        <v>430</v>
      </c>
      <c r="U27" s="904"/>
      <c r="V27" s="245" t="s">
        <v>79</v>
      </c>
    </row>
    <row r="28" s="21" customFormat="true" ht="15" hidden="false" customHeight="true" outlineLevel="0" collapsed="false">
      <c r="A28" s="878" t="s">
        <v>393</v>
      </c>
      <c r="B28" s="878"/>
      <c r="C28" s="774"/>
      <c r="D28" s="879" t="s">
        <v>408</v>
      </c>
      <c r="E28" s="774"/>
      <c r="F28" s="774"/>
      <c r="G28" s="774"/>
      <c r="H28" s="905"/>
      <c r="I28" s="906" t="s">
        <v>431</v>
      </c>
      <c r="J28" s="849"/>
      <c r="K28" s="47"/>
      <c r="L28" s="899"/>
      <c r="M28" s="900"/>
      <c r="N28" s="900"/>
      <c r="O28" s="900"/>
      <c r="P28" s="900"/>
      <c r="Q28" s="900"/>
      <c r="R28" s="900"/>
      <c r="T28" s="245" t="s">
        <v>432</v>
      </c>
      <c r="U28" s="904"/>
      <c r="V28" s="245" t="s">
        <v>79</v>
      </c>
    </row>
    <row r="29" s="21" customFormat="true" ht="15" hidden="false" customHeight="true" outlineLevel="0" collapsed="false">
      <c r="A29" s="881" t="s">
        <v>410</v>
      </c>
      <c r="B29" s="881"/>
      <c r="C29" s="774"/>
      <c r="D29" s="882" t="s">
        <v>411</v>
      </c>
      <c r="E29" s="883"/>
      <c r="F29" s="883"/>
      <c r="G29" s="883"/>
      <c r="H29" s="905"/>
      <c r="I29" s="906" t="s">
        <v>433</v>
      </c>
      <c r="J29" s="849"/>
      <c r="K29" s="47"/>
      <c r="L29" s="899"/>
      <c r="M29" s="900"/>
      <c r="N29" s="900"/>
      <c r="O29" s="900"/>
      <c r="P29" s="900"/>
      <c r="Q29" s="900"/>
      <c r="R29" s="900"/>
      <c r="T29" s="245" t="s">
        <v>434</v>
      </c>
      <c r="U29" s="904"/>
      <c r="V29" s="245" t="s">
        <v>79</v>
      </c>
    </row>
    <row r="30" s="21" customFormat="true" ht="17.25" hidden="false" customHeight="true" outlineLevel="0" collapsed="false">
      <c r="A30" s="876" t="s">
        <v>435</v>
      </c>
      <c r="B30" s="876"/>
      <c r="C30" s="876"/>
      <c r="D30" s="876"/>
      <c r="E30" s="876"/>
      <c r="F30" s="876"/>
      <c r="G30" s="876"/>
      <c r="H30" s="905"/>
      <c r="I30" s="906" t="s">
        <v>436</v>
      </c>
      <c r="J30" s="849"/>
      <c r="K30" s="47"/>
      <c r="L30" s="899"/>
      <c r="M30" s="900"/>
      <c r="N30" s="900"/>
      <c r="O30" s="900"/>
      <c r="P30" s="900"/>
      <c r="Q30" s="900"/>
      <c r="R30" s="900"/>
      <c r="T30" s="245" t="s">
        <v>437</v>
      </c>
      <c r="U30" s="904"/>
      <c r="V30" s="245" t="s">
        <v>79</v>
      </c>
    </row>
    <row r="31" s="21" customFormat="true" ht="17.25" hidden="false" customHeight="true" outlineLevel="0" collapsed="false">
      <c r="A31" s="878" t="s">
        <v>438</v>
      </c>
      <c r="B31" s="878"/>
      <c r="C31" s="774"/>
      <c r="D31" s="879" t="s">
        <v>403</v>
      </c>
      <c r="E31" s="884"/>
      <c r="F31" s="885"/>
      <c r="G31" s="776"/>
      <c r="H31" s="905"/>
      <c r="I31" s="302" t="s">
        <v>439</v>
      </c>
      <c r="J31" s="849" t="s">
        <v>440</v>
      </c>
      <c r="K31" s="44" t="n">
        <f aca="false">'Recept-voorblad'!$M$13</f>
        <v>0</v>
      </c>
      <c r="L31" s="899" t="n">
        <f aca="false">'Recept-voorblad'!$L$13</f>
        <v>0</v>
      </c>
      <c r="M31" s="900"/>
      <c r="N31" s="900"/>
      <c r="O31" s="900"/>
      <c r="P31" s="900"/>
      <c r="Q31" s="900"/>
      <c r="R31" s="900"/>
      <c r="T31" s="245" t="s">
        <v>441</v>
      </c>
      <c r="U31" s="904"/>
      <c r="V31" s="245" t="s">
        <v>79</v>
      </c>
    </row>
    <row r="32" s="21" customFormat="true" ht="15.75" hidden="false" customHeight="true" outlineLevel="0" collapsed="false">
      <c r="A32" s="878" t="s">
        <v>405</v>
      </c>
      <c r="B32" s="878"/>
      <c r="C32" s="774"/>
      <c r="D32" s="879" t="s">
        <v>406</v>
      </c>
      <c r="E32" s="774"/>
      <c r="F32" s="774"/>
      <c r="G32" s="774"/>
      <c r="H32" s="907"/>
      <c r="I32" s="908" t="s">
        <v>442</v>
      </c>
      <c r="J32" s="909" t="s">
        <v>440</v>
      </c>
      <c r="K32" s="44" t="n">
        <f aca="false">'Recept-voorblad'!$M$15</f>
        <v>0</v>
      </c>
      <c r="L32" s="899" t="n">
        <f aca="false">'Recept-voorblad'!$L$15</f>
        <v>0</v>
      </c>
      <c r="M32" s="910"/>
      <c r="N32" s="910"/>
      <c r="O32" s="910"/>
      <c r="P32" s="910"/>
      <c r="Q32" s="910"/>
      <c r="R32" s="910"/>
      <c r="T32" s="245" t="s">
        <v>443</v>
      </c>
      <c r="U32" s="904"/>
      <c r="V32" s="245" t="s">
        <v>79</v>
      </c>
    </row>
    <row r="33" s="21" customFormat="true" ht="15" hidden="false" customHeight="true" outlineLevel="0" collapsed="false">
      <c r="A33" s="878" t="s">
        <v>394</v>
      </c>
      <c r="B33" s="878"/>
      <c r="C33" s="774"/>
      <c r="D33" s="879" t="s">
        <v>408</v>
      </c>
      <c r="E33" s="774"/>
      <c r="F33" s="774"/>
      <c r="G33" s="774"/>
      <c r="H33" s="911"/>
      <c r="I33" s="912" t="s">
        <v>444</v>
      </c>
      <c r="J33" s="913" t="s">
        <v>425</v>
      </c>
      <c r="K33" s="914" t="n">
        <f aca="false">'Recept-voorblad'!$M$17</f>
        <v>0</v>
      </c>
      <c r="L33" s="915" t="n">
        <f aca="false">'Recept-voorblad'!$L$17</f>
        <v>0</v>
      </c>
      <c r="M33" s="916"/>
      <c r="N33" s="916"/>
      <c r="O33" s="916"/>
      <c r="P33" s="916"/>
      <c r="Q33" s="916"/>
      <c r="R33" s="916"/>
      <c r="T33" s="245" t="s">
        <v>445</v>
      </c>
      <c r="U33" s="904"/>
      <c r="V33" s="245" t="s">
        <v>79</v>
      </c>
    </row>
    <row r="34" s="21" customFormat="true" ht="15" hidden="false" customHeight="true" outlineLevel="0" collapsed="false">
      <c r="A34" s="881" t="s">
        <v>446</v>
      </c>
      <c r="B34" s="881"/>
      <c r="C34" s="774"/>
      <c r="D34" s="882" t="s">
        <v>411</v>
      </c>
      <c r="E34" s="883"/>
      <c r="F34" s="883"/>
      <c r="G34" s="883"/>
      <c r="H34" s="917"/>
      <c r="I34" s="284" t="s">
        <v>421</v>
      </c>
      <c r="J34" s="894"/>
      <c r="K34" s="895"/>
      <c r="L34" s="896"/>
      <c r="M34" s="897"/>
      <c r="N34" s="897"/>
      <c r="O34" s="897"/>
      <c r="P34" s="897"/>
      <c r="Q34" s="897"/>
      <c r="R34" s="897"/>
      <c r="T34" s="245" t="s">
        <v>447</v>
      </c>
      <c r="U34" s="904"/>
      <c r="V34" s="245" t="s">
        <v>79</v>
      </c>
    </row>
    <row r="35" s="21" customFormat="true" ht="15" hidden="false" customHeight="true" outlineLevel="0" collapsed="false">
      <c r="A35" s="876" t="s">
        <v>448</v>
      </c>
      <c r="B35" s="876"/>
      <c r="C35" s="876"/>
      <c r="D35" s="876"/>
      <c r="E35" s="876"/>
      <c r="F35" s="876"/>
      <c r="G35" s="876"/>
      <c r="H35" s="917"/>
      <c r="I35" s="302" t="s">
        <v>449</v>
      </c>
      <c r="J35" s="849" t="s">
        <v>425</v>
      </c>
      <c r="K35" s="47" t="n">
        <f aca="false">'Recept-voorblad'!$M$16+'Recept-voorblad'!$M$17</f>
        <v>0</v>
      </c>
      <c r="L35" s="899" t="s">
        <v>311</v>
      </c>
      <c r="M35" s="900"/>
      <c r="N35" s="900"/>
      <c r="O35" s="900"/>
      <c r="P35" s="900"/>
      <c r="Q35" s="900"/>
      <c r="R35" s="900"/>
      <c r="T35" s="245" t="s">
        <v>450</v>
      </c>
      <c r="U35" s="904"/>
      <c r="V35" s="245" t="s">
        <v>79</v>
      </c>
    </row>
    <row r="36" s="21" customFormat="true" ht="15" hidden="false" customHeight="true" outlineLevel="0" collapsed="false">
      <c r="A36" s="878" t="s">
        <v>438</v>
      </c>
      <c r="B36" s="878"/>
      <c r="C36" s="774"/>
      <c r="D36" s="879" t="s">
        <v>403</v>
      </c>
      <c r="E36" s="884"/>
      <c r="F36" s="885"/>
      <c r="G36" s="776"/>
      <c r="H36" s="918"/>
      <c r="I36" s="302" t="s">
        <v>451</v>
      </c>
      <c r="J36" s="849" t="s">
        <v>425</v>
      </c>
      <c r="K36" s="47" t="n">
        <f aca="false">'Recept-voorblad'!$M$16</f>
        <v>0</v>
      </c>
      <c r="L36" s="899" t="n">
        <f aca="false">'Recept-voorblad'!$L$16</f>
        <v>0</v>
      </c>
      <c r="M36" s="900"/>
      <c r="N36" s="900"/>
      <c r="O36" s="900"/>
      <c r="P36" s="900"/>
      <c r="Q36" s="900"/>
      <c r="R36" s="900"/>
      <c r="T36" s="245" t="s">
        <v>452</v>
      </c>
      <c r="U36" s="904"/>
      <c r="V36" s="245" t="s">
        <v>79</v>
      </c>
    </row>
    <row r="37" s="21" customFormat="true" ht="15" hidden="false" customHeight="true" outlineLevel="0" collapsed="false">
      <c r="A37" s="878" t="s">
        <v>405</v>
      </c>
      <c r="B37" s="878"/>
      <c r="C37" s="774"/>
      <c r="D37" s="879" t="s">
        <v>406</v>
      </c>
      <c r="E37" s="774"/>
      <c r="F37" s="774"/>
      <c r="G37" s="774"/>
      <c r="H37" s="918"/>
      <c r="I37" s="302" t="s">
        <v>453</v>
      </c>
      <c r="J37" s="849" t="s">
        <v>425</v>
      </c>
      <c r="K37" s="47" t="n">
        <f aca="false">'Recept-voorblad'!$M$17</f>
        <v>0</v>
      </c>
      <c r="L37" s="899"/>
      <c r="M37" s="900"/>
      <c r="N37" s="900"/>
      <c r="O37" s="900"/>
      <c r="P37" s="900"/>
      <c r="Q37" s="900"/>
      <c r="R37" s="900"/>
      <c r="T37" s="245" t="s">
        <v>454</v>
      </c>
      <c r="U37" s="904"/>
      <c r="V37" s="245" t="s">
        <v>79</v>
      </c>
    </row>
    <row r="38" s="21" customFormat="true" ht="15" hidden="false" customHeight="true" outlineLevel="0" collapsed="false">
      <c r="A38" s="878" t="s">
        <v>394</v>
      </c>
      <c r="B38" s="878"/>
      <c r="C38" s="774"/>
      <c r="D38" s="879" t="s">
        <v>408</v>
      </c>
      <c r="E38" s="774"/>
      <c r="F38" s="774"/>
      <c r="G38" s="774"/>
      <c r="I38" s="906" t="s">
        <v>431</v>
      </c>
      <c r="J38" s="849"/>
      <c r="K38" s="47"/>
      <c r="L38" s="899"/>
      <c r="M38" s="900"/>
      <c r="N38" s="900"/>
      <c r="O38" s="900"/>
      <c r="P38" s="900"/>
      <c r="Q38" s="900"/>
      <c r="R38" s="900"/>
      <c r="T38" s="245" t="s">
        <v>455</v>
      </c>
      <c r="U38" s="904"/>
      <c r="V38" s="245" t="s">
        <v>79</v>
      </c>
    </row>
    <row r="39" s="21" customFormat="true" ht="15" hidden="false" customHeight="true" outlineLevel="0" collapsed="false">
      <c r="A39" s="881" t="s">
        <v>446</v>
      </c>
      <c r="B39" s="881"/>
      <c r="C39" s="774"/>
      <c r="D39" s="882" t="s">
        <v>411</v>
      </c>
      <c r="E39" s="883"/>
      <c r="F39" s="883"/>
      <c r="G39" s="883"/>
      <c r="I39" s="906" t="s">
        <v>433</v>
      </c>
      <c r="J39" s="849"/>
      <c r="K39" s="47"/>
      <c r="L39" s="899"/>
      <c r="M39" s="900"/>
      <c r="N39" s="900"/>
      <c r="O39" s="900"/>
      <c r="P39" s="900"/>
      <c r="Q39" s="900"/>
      <c r="R39" s="900"/>
      <c r="T39" s="245" t="s">
        <v>456</v>
      </c>
      <c r="U39" s="904"/>
      <c r="V39" s="245" t="s">
        <v>79</v>
      </c>
    </row>
    <row r="40" s="21" customFormat="true" ht="17.25" hidden="false" customHeight="true" outlineLevel="0" collapsed="false">
      <c r="A40" s="876" t="s">
        <v>457</v>
      </c>
      <c r="B40" s="876"/>
      <c r="C40" s="876"/>
      <c r="D40" s="876"/>
      <c r="E40" s="876"/>
      <c r="F40" s="876"/>
      <c r="G40" s="876"/>
      <c r="I40" s="906" t="s">
        <v>436</v>
      </c>
      <c r="J40" s="849"/>
      <c r="K40" s="47"/>
      <c r="L40" s="899"/>
      <c r="M40" s="900"/>
      <c r="N40" s="900"/>
      <c r="O40" s="900"/>
      <c r="P40" s="900"/>
      <c r="Q40" s="900"/>
      <c r="R40" s="900"/>
      <c r="T40" s="245" t="s">
        <v>458</v>
      </c>
      <c r="U40" s="904"/>
      <c r="V40" s="245" t="s">
        <v>79</v>
      </c>
    </row>
    <row r="41" s="21" customFormat="true" ht="15" hidden="false" customHeight="true" outlineLevel="0" collapsed="false">
      <c r="A41" s="878" t="s">
        <v>459</v>
      </c>
      <c r="B41" s="878"/>
      <c r="C41" s="774"/>
      <c r="D41" s="879" t="s">
        <v>460</v>
      </c>
      <c r="E41" s="883"/>
      <c r="F41" s="883"/>
      <c r="G41" s="883"/>
      <c r="I41" s="302" t="s">
        <v>461</v>
      </c>
      <c r="J41" s="849" t="s">
        <v>440</v>
      </c>
      <c r="K41" s="44" t="n">
        <f aca="false">'Recept-voorblad'!$M$13</f>
        <v>0</v>
      </c>
      <c r="L41" s="899" t="n">
        <f aca="false">'Recept-voorblad'!$L$13</f>
        <v>0</v>
      </c>
      <c r="M41" s="900"/>
      <c r="N41" s="900"/>
      <c r="O41" s="900"/>
      <c r="P41" s="900"/>
      <c r="Q41" s="900"/>
      <c r="R41" s="900"/>
      <c r="T41" s="245" t="s">
        <v>462</v>
      </c>
      <c r="U41" s="904"/>
      <c r="V41" s="245" t="s">
        <v>79</v>
      </c>
    </row>
    <row r="42" s="21" customFormat="true" ht="15" hidden="false" customHeight="true" outlineLevel="0" collapsed="false">
      <c r="A42" s="878" t="s">
        <v>463</v>
      </c>
      <c r="B42" s="878"/>
      <c r="C42" s="774"/>
      <c r="D42" s="882"/>
      <c r="E42" s="919"/>
      <c r="F42" s="919"/>
      <c r="G42" s="919"/>
      <c r="I42" s="908" t="s">
        <v>464</v>
      </c>
      <c r="J42" s="909" t="s">
        <v>440</v>
      </c>
      <c r="K42" s="44" t="n">
        <f aca="false">'Recept-voorblad'!$M$15</f>
        <v>0</v>
      </c>
      <c r="L42" s="899" t="n">
        <f aca="false">'Recept-voorblad'!$L$15</f>
        <v>0</v>
      </c>
      <c r="M42" s="910"/>
      <c r="N42" s="910"/>
      <c r="O42" s="910"/>
      <c r="P42" s="910"/>
      <c r="Q42" s="910"/>
      <c r="R42" s="910"/>
      <c r="T42" s="245" t="s">
        <v>465</v>
      </c>
      <c r="U42" s="904"/>
      <c r="V42" s="245" t="s">
        <v>79</v>
      </c>
    </row>
    <row r="43" s="21" customFormat="true" ht="17.25" hidden="false" customHeight="true" outlineLevel="0" collapsed="false">
      <c r="A43" s="876" t="s">
        <v>466</v>
      </c>
      <c r="B43" s="876"/>
      <c r="C43" s="876"/>
      <c r="D43" s="876"/>
      <c r="E43" s="876"/>
      <c r="F43" s="876"/>
      <c r="G43" s="876"/>
      <c r="I43" s="912" t="s">
        <v>467</v>
      </c>
      <c r="J43" s="913" t="s">
        <v>425</v>
      </c>
      <c r="K43" s="914" t="n">
        <f aca="false">'Recept-voorblad'!$M$17</f>
        <v>0</v>
      </c>
      <c r="L43" s="915" t="n">
        <f aca="false">'Recept-voorblad'!$L$17</f>
        <v>0</v>
      </c>
      <c r="M43" s="916"/>
      <c r="N43" s="916"/>
      <c r="O43" s="916"/>
      <c r="P43" s="916"/>
      <c r="Q43" s="916"/>
      <c r="R43" s="916"/>
      <c r="T43" s="245" t="s">
        <v>468</v>
      </c>
      <c r="U43" s="904"/>
      <c r="V43" s="245" t="s">
        <v>79</v>
      </c>
    </row>
    <row r="44" s="21" customFormat="true" ht="18.75" hidden="false" customHeight="true" outlineLevel="0" collapsed="false">
      <c r="A44" s="878" t="s">
        <v>459</v>
      </c>
      <c r="B44" s="878"/>
      <c r="C44" s="774"/>
      <c r="D44" s="879" t="s">
        <v>460</v>
      </c>
      <c r="E44" s="883"/>
      <c r="F44" s="883"/>
      <c r="G44" s="883"/>
      <c r="I44" s="284" t="s">
        <v>421</v>
      </c>
      <c r="J44" s="894"/>
      <c r="K44" s="895"/>
      <c r="L44" s="896"/>
      <c r="M44" s="897"/>
      <c r="N44" s="897"/>
      <c r="O44" s="897"/>
      <c r="P44" s="897"/>
      <c r="Q44" s="897"/>
      <c r="R44" s="897"/>
      <c r="T44" s="245" t="s">
        <v>469</v>
      </c>
      <c r="U44" s="920"/>
      <c r="V44" s="245" t="s">
        <v>79</v>
      </c>
    </row>
    <row r="45" s="21" customFormat="true" ht="18.75" hidden="false" customHeight="true" outlineLevel="0" collapsed="false">
      <c r="A45" s="878" t="s">
        <v>463</v>
      </c>
      <c r="B45" s="878"/>
      <c r="C45" s="774"/>
      <c r="D45" s="882"/>
      <c r="E45" s="919"/>
      <c r="F45" s="919"/>
      <c r="G45" s="919"/>
      <c r="I45" s="302" t="s">
        <v>470</v>
      </c>
      <c r="J45" s="849" t="s">
        <v>425</v>
      </c>
      <c r="K45" s="47" t="n">
        <f aca="false">'Recept-voorblad'!$M$16+'Recept-voorblad'!$M$17</f>
        <v>0</v>
      </c>
      <c r="L45" s="899" t="s">
        <v>311</v>
      </c>
      <c r="M45" s="900"/>
      <c r="N45" s="900"/>
      <c r="O45" s="900"/>
      <c r="P45" s="900"/>
      <c r="Q45" s="900"/>
      <c r="R45" s="900"/>
      <c r="T45" s="245" t="s">
        <v>96</v>
      </c>
      <c r="U45" s="245" t="s">
        <v>96</v>
      </c>
      <c r="V45" s="242" t="s">
        <v>96</v>
      </c>
    </row>
    <row r="46" s="21" customFormat="true" ht="18.75" hidden="false" customHeight="true" outlineLevel="0" collapsed="false">
      <c r="I46" s="302" t="s">
        <v>471</v>
      </c>
      <c r="J46" s="849" t="s">
        <v>425</v>
      </c>
      <c r="K46" s="47" t="n">
        <f aca="false">'Recept-voorblad'!$M$16</f>
        <v>0</v>
      </c>
      <c r="L46" s="899" t="n">
        <f aca="false">'Recept-voorblad'!$L$16</f>
        <v>0</v>
      </c>
      <c r="M46" s="900"/>
      <c r="N46" s="900"/>
      <c r="O46" s="900"/>
      <c r="P46" s="900"/>
      <c r="Q46" s="900"/>
      <c r="R46" s="900"/>
      <c r="T46" s="921" t="s">
        <v>472</v>
      </c>
      <c r="U46" s="922" t="str">
        <f aca="false">IFERROR((AVERAGE(U25:U44)-U24)/U51,"")</f>
        <v/>
      </c>
      <c r="V46" s="923" t="n">
        <f aca="false">VLOOKUP(U23,T52:V56,3,0)</f>
        <v>330</v>
      </c>
    </row>
    <row r="47" s="21" customFormat="true" ht="18.75" hidden="false" customHeight="true" outlineLevel="0" collapsed="false">
      <c r="A47" s="924" t="s">
        <v>473</v>
      </c>
      <c r="B47" s="924"/>
      <c r="C47" s="924"/>
      <c r="D47" s="925"/>
      <c r="E47" s="925"/>
      <c r="F47" s="925"/>
      <c r="G47" s="926"/>
      <c r="I47" s="302" t="s">
        <v>474</v>
      </c>
      <c r="J47" s="849" t="s">
        <v>425</v>
      </c>
      <c r="K47" s="47" t="n">
        <f aca="false">'Recept-voorblad'!$M$17</f>
        <v>0</v>
      </c>
      <c r="L47" s="899"/>
      <c r="M47" s="900"/>
      <c r="N47" s="900"/>
      <c r="O47" s="900"/>
      <c r="P47" s="900"/>
      <c r="Q47" s="900"/>
      <c r="R47" s="900"/>
      <c r="T47" s="921" t="s">
        <v>475</v>
      </c>
      <c r="U47" s="927" t="n">
        <f aca="false">(VLOOKUP(U23,T52:V56,3,0)-VLOOKUP(U23,T52:U56,2,0))*U51+U24</f>
        <v>0</v>
      </c>
      <c r="V47" s="928" t="e">
        <f aca="false">IF(V58,(100*NORMSDIST(((V46-U49)-U46)/V57)),"")</f>
        <v>#DIV/0!</v>
      </c>
    </row>
    <row r="48" s="21" customFormat="true" ht="18.75" hidden="false" customHeight="true" outlineLevel="0" collapsed="false">
      <c r="A48" s="929" t="str">
        <f aca="false">IF(Verwerking!N7=5.6," ","LET OP The CO2 concentration can/bottle is " &amp;K31 &amp; " g/l ")</f>
        <v>LET OP The CO2 concentration can/bottle is 0 g/l </v>
      </c>
      <c r="B48" s="929"/>
      <c r="C48" s="929"/>
      <c r="D48" s="929"/>
      <c r="E48" s="929"/>
      <c r="F48" s="929"/>
      <c r="G48" s="929"/>
      <c r="I48" s="906" t="s">
        <v>431</v>
      </c>
      <c r="J48" s="849"/>
      <c r="K48" s="47"/>
      <c r="L48" s="899"/>
      <c r="M48" s="900"/>
      <c r="N48" s="900"/>
      <c r="O48" s="900"/>
      <c r="P48" s="900"/>
      <c r="Q48" s="900"/>
      <c r="R48" s="900"/>
      <c r="T48" s="921" t="s">
        <v>476</v>
      </c>
      <c r="U48" s="927" t="n">
        <f aca="false">(VLOOKUP(U23,T52:V56,3,0)-VLOOKUP(U23,T52:U56,2,0)*2)*U51+U24</f>
        <v>0</v>
      </c>
      <c r="V48" s="923" t="n">
        <f aca="false">COUNTIF(U25:U44, "&lt;"&amp; U48)</f>
        <v>0</v>
      </c>
    </row>
    <row r="49" s="21" customFormat="true" ht="18.75" hidden="false" customHeight="true" outlineLevel="0" collapsed="false">
      <c r="A49" s="929"/>
      <c r="B49" s="929"/>
      <c r="C49" s="929"/>
      <c r="D49" s="929"/>
      <c r="E49" s="929"/>
      <c r="F49" s="929"/>
      <c r="G49" s="929"/>
      <c r="I49" s="906" t="s">
        <v>433</v>
      </c>
      <c r="J49" s="849"/>
      <c r="K49" s="47"/>
      <c r="L49" s="899"/>
      <c r="M49" s="900"/>
      <c r="N49" s="900"/>
      <c r="O49" s="900"/>
      <c r="P49" s="900"/>
      <c r="Q49" s="900"/>
      <c r="R49" s="900"/>
      <c r="T49" s="921" t="s">
        <v>477</v>
      </c>
      <c r="U49" s="930" t="n">
        <f aca="false">VLOOKUP(U23,T52:U56,2,0)</f>
        <v>9.9</v>
      </c>
      <c r="V49" s="923"/>
    </row>
    <row r="50" s="21" customFormat="true" ht="18.75" hidden="false" customHeight="true" outlineLevel="0" collapsed="false">
      <c r="A50" s="929"/>
      <c r="B50" s="929"/>
      <c r="C50" s="929"/>
      <c r="D50" s="929"/>
      <c r="E50" s="929"/>
      <c r="F50" s="929"/>
      <c r="G50" s="929"/>
      <c r="I50" s="906" t="s">
        <v>436</v>
      </c>
      <c r="J50" s="849"/>
      <c r="K50" s="47"/>
      <c r="L50" s="899"/>
      <c r="M50" s="900"/>
      <c r="N50" s="900"/>
      <c r="O50" s="900"/>
      <c r="P50" s="900"/>
      <c r="Q50" s="900"/>
      <c r="R50" s="900"/>
      <c r="T50" s="921"/>
      <c r="U50" s="921"/>
      <c r="V50" s="242" t="s">
        <v>96</v>
      </c>
    </row>
    <row r="51" s="21" customFormat="true" ht="15" hidden="false" customHeight="true" outlineLevel="0" collapsed="false">
      <c r="I51" s="302" t="s">
        <v>478</v>
      </c>
      <c r="J51" s="849" t="s">
        <v>440</v>
      </c>
      <c r="K51" s="44" t="n">
        <f aca="false">'Recept-voorblad'!$M$13</f>
        <v>0</v>
      </c>
      <c r="L51" s="899" t="n">
        <f aca="false">'Recept-voorblad'!$L$13</f>
        <v>0</v>
      </c>
      <c r="M51" s="900"/>
      <c r="N51" s="900"/>
      <c r="O51" s="900"/>
      <c r="P51" s="900"/>
      <c r="Q51" s="900"/>
      <c r="R51" s="900"/>
      <c r="S51" s="242"/>
      <c r="T51" s="923" t="s">
        <v>479</v>
      </c>
      <c r="U51" s="923"/>
      <c r="V51" s="242" t="s">
        <v>480</v>
      </c>
    </row>
    <row r="52" s="21" customFormat="true" ht="15" hidden="false" customHeight="true" outlineLevel="0" collapsed="false">
      <c r="A52" s="931" t="s">
        <v>481</v>
      </c>
      <c r="B52" s="931"/>
      <c r="C52" s="932" t="s">
        <v>482</v>
      </c>
      <c r="D52" s="932" t="s">
        <v>483</v>
      </c>
      <c r="E52" s="932" t="s">
        <v>484</v>
      </c>
      <c r="F52" s="932" t="s">
        <v>481</v>
      </c>
      <c r="I52" s="908" t="s">
        <v>485</v>
      </c>
      <c r="J52" s="909" t="s">
        <v>440</v>
      </c>
      <c r="K52" s="44" t="n">
        <f aca="false">'Recept-voorblad'!$M$15</f>
        <v>0</v>
      </c>
      <c r="L52" s="899" t="n">
        <f aca="false">'Recept-voorblad'!$L$15</f>
        <v>0</v>
      </c>
      <c r="M52" s="910"/>
      <c r="N52" s="910"/>
      <c r="O52" s="910"/>
      <c r="P52" s="910"/>
      <c r="Q52" s="910"/>
      <c r="R52" s="910"/>
      <c r="S52" s="242"/>
      <c r="T52" s="923" t="s">
        <v>486</v>
      </c>
      <c r="U52" s="923" t="n">
        <v>9</v>
      </c>
      <c r="V52" s="242" t="n">
        <v>275</v>
      </c>
    </row>
    <row r="53" s="21" customFormat="true" ht="17.25" hidden="false" customHeight="true" outlineLevel="0" collapsed="false">
      <c r="A53" s="439" t="s">
        <v>487</v>
      </c>
      <c r="B53" s="933"/>
      <c r="C53" s="934"/>
      <c r="D53" s="934"/>
      <c r="E53" s="934"/>
      <c r="F53" s="934"/>
      <c r="I53" s="912" t="s">
        <v>488</v>
      </c>
      <c r="J53" s="913" t="s">
        <v>425</v>
      </c>
      <c r="K53" s="914" t="n">
        <f aca="false">'Recept-voorblad'!$M$17</f>
        <v>0</v>
      </c>
      <c r="L53" s="915" t="n">
        <f aca="false">'Recept-voorblad'!$L$17</f>
        <v>0</v>
      </c>
      <c r="M53" s="916"/>
      <c r="N53" s="916"/>
      <c r="O53" s="916"/>
      <c r="P53" s="916"/>
      <c r="Q53" s="916"/>
      <c r="R53" s="916"/>
      <c r="S53" s="242"/>
      <c r="T53" s="923" t="s">
        <v>420</v>
      </c>
      <c r="U53" s="923" t="n">
        <f aca="false">0.03*330</f>
        <v>9.9</v>
      </c>
      <c r="V53" s="242" t="n">
        <v>330</v>
      </c>
    </row>
    <row r="54" s="21" customFormat="true" ht="15" hidden="false" customHeight="true" outlineLevel="0" collapsed="false">
      <c r="A54" s="452" t="s">
        <v>489</v>
      </c>
      <c r="B54" s="935"/>
      <c r="C54" s="936"/>
      <c r="D54" s="936"/>
      <c r="E54" s="936"/>
      <c r="F54" s="936"/>
      <c r="I54" s="284" t="s">
        <v>421</v>
      </c>
      <c r="J54" s="894"/>
      <c r="K54" s="895"/>
      <c r="L54" s="896"/>
      <c r="M54" s="897"/>
      <c r="N54" s="897"/>
      <c r="O54" s="897"/>
      <c r="P54" s="897"/>
      <c r="Q54" s="897"/>
      <c r="R54" s="897"/>
      <c r="S54" s="242"/>
      <c r="T54" s="923" t="s">
        <v>490</v>
      </c>
      <c r="U54" s="923" t="n">
        <f aca="false">0.03*440</f>
        <v>13.2</v>
      </c>
      <c r="V54" s="242" t="n">
        <v>440</v>
      </c>
    </row>
    <row r="55" s="21" customFormat="true" ht="15" hidden="false" customHeight="true" outlineLevel="0" collapsed="false">
      <c r="A55" s="452" t="s">
        <v>491</v>
      </c>
      <c r="B55" s="935"/>
      <c r="C55" s="936"/>
      <c r="D55" s="936"/>
      <c r="E55" s="936"/>
      <c r="F55" s="936"/>
      <c r="I55" s="302" t="s">
        <v>492</v>
      </c>
      <c r="J55" s="849" t="s">
        <v>425</v>
      </c>
      <c r="K55" s="47" t="n">
        <f aca="false">'Recept-voorblad'!$M$16+'Recept-voorblad'!$M$17</f>
        <v>0</v>
      </c>
      <c r="L55" s="899" t="s">
        <v>311</v>
      </c>
      <c r="M55" s="900"/>
      <c r="N55" s="900"/>
      <c r="O55" s="900"/>
      <c r="P55" s="900"/>
      <c r="Q55" s="900"/>
      <c r="R55" s="900"/>
      <c r="S55" s="242"/>
      <c r="T55" s="923" t="s">
        <v>493</v>
      </c>
      <c r="U55" s="923" t="n">
        <f aca="false">0.03*330</f>
        <v>9.9</v>
      </c>
      <c r="V55" s="242" t="n">
        <v>330</v>
      </c>
    </row>
    <row r="56" s="21" customFormat="true" ht="15" hidden="false" customHeight="true" outlineLevel="0" collapsed="false">
      <c r="A56" s="937"/>
      <c r="B56" s="938"/>
      <c r="C56" s="939"/>
      <c r="D56" s="939"/>
      <c r="E56" s="939"/>
      <c r="F56" s="939"/>
      <c r="I56" s="302" t="s">
        <v>494</v>
      </c>
      <c r="J56" s="849" t="s">
        <v>425</v>
      </c>
      <c r="K56" s="47" t="n">
        <f aca="false">'Recept-voorblad'!$M$16</f>
        <v>0</v>
      </c>
      <c r="L56" s="899" t="n">
        <f aca="false">'Recept-voorblad'!$L$16</f>
        <v>0</v>
      </c>
      <c r="M56" s="900"/>
      <c r="N56" s="900"/>
      <c r="O56" s="900"/>
      <c r="P56" s="900"/>
      <c r="Q56" s="900"/>
      <c r="R56" s="900"/>
      <c r="S56" s="242"/>
      <c r="T56" s="923" t="s">
        <v>495</v>
      </c>
      <c r="U56" s="923" t="n">
        <f aca="false">15</f>
        <v>15</v>
      </c>
      <c r="V56" s="242" t="n">
        <v>750</v>
      </c>
    </row>
    <row r="57" s="21" customFormat="true" ht="15" hidden="false" customHeight="true" outlineLevel="0" collapsed="false">
      <c r="I57" s="302" t="s">
        <v>496</v>
      </c>
      <c r="J57" s="849" t="s">
        <v>425</v>
      </c>
      <c r="K57" s="47" t="n">
        <f aca="false">'Recept-voorblad'!$M$17</f>
        <v>0</v>
      </c>
      <c r="L57" s="899"/>
      <c r="M57" s="900"/>
      <c r="N57" s="900"/>
      <c r="O57" s="900"/>
      <c r="P57" s="900"/>
      <c r="Q57" s="900"/>
      <c r="R57" s="900"/>
      <c r="S57" s="242"/>
      <c r="T57" s="923"/>
      <c r="U57" s="923" t="n">
        <f aca="false">COUNTIF(V47, "&gt;=0,025")+COUNTIF(V48, "&gt;=0,099")</f>
        <v>0</v>
      </c>
      <c r="V57" s="242" t="e">
        <f aca="false">STDEV(U25:U44)</f>
        <v>#DIV/0!</v>
      </c>
    </row>
    <row r="58" s="21" customFormat="true" ht="15" hidden="false" customHeight="true" outlineLevel="0" collapsed="false">
      <c r="A58" s="931" t="s">
        <v>497</v>
      </c>
      <c r="B58" s="931"/>
      <c r="C58" s="932" t="s">
        <v>498</v>
      </c>
      <c r="D58" s="932" t="s">
        <v>499</v>
      </c>
      <c r="E58" s="932" t="s">
        <v>500</v>
      </c>
      <c r="F58" s="932" t="s">
        <v>501</v>
      </c>
      <c r="I58" s="906" t="s">
        <v>431</v>
      </c>
      <c r="J58" s="849"/>
      <c r="K58" s="47"/>
      <c r="L58" s="899"/>
      <c r="M58" s="900"/>
      <c r="N58" s="900"/>
      <c r="O58" s="900"/>
      <c r="P58" s="900"/>
      <c r="Q58" s="900"/>
      <c r="R58" s="900"/>
      <c r="S58" s="242"/>
      <c r="T58" s="242" t="s">
        <v>96</v>
      </c>
      <c r="U58" s="242" t="s">
        <v>96</v>
      </c>
      <c r="V58" s="242" t="e">
        <f aca="false">((V46-U49)/(4*V57))</f>
        <v>#DIV/0!</v>
      </c>
    </row>
    <row r="59" s="21" customFormat="true" ht="15" hidden="false" customHeight="true" outlineLevel="0" collapsed="false">
      <c r="A59" s="439" t="s">
        <v>487</v>
      </c>
      <c r="B59" s="933"/>
      <c r="C59" s="940" t="n">
        <f aca="false">Afvulverslag!M49</f>
        <v>0</v>
      </c>
      <c r="D59" s="934"/>
      <c r="E59" s="934"/>
      <c r="F59" s="941" t="n">
        <f aca="false">Afvulverslag!R9</f>
        <v>0</v>
      </c>
      <c r="I59" s="906" t="s">
        <v>433</v>
      </c>
      <c r="J59" s="849"/>
      <c r="K59" s="47"/>
      <c r="L59" s="899"/>
      <c r="M59" s="900"/>
      <c r="N59" s="900"/>
      <c r="O59" s="900"/>
      <c r="P59" s="900"/>
      <c r="Q59" s="900"/>
      <c r="R59" s="900"/>
      <c r="S59" s="242"/>
      <c r="T59" s="242" t="s">
        <v>96</v>
      </c>
      <c r="U59" s="242" t="s">
        <v>96</v>
      </c>
      <c r="V59" s="242" t="s">
        <v>96</v>
      </c>
    </row>
    <row r="60" s="21" customFormat="true" ht="17.25" hidden="false" customHeight="true" outlineLevel="0" collapsed="false">
      <c r="A60" s="452" t="s">
        <v>489</v>
      </c>
      <c r="B60" s="935"/>
      <c r="C60" s="942" t="n">
        <f aca="false">Afvulverslag!M77</f>
        <v>0</v>
      </c>
      <c r="D60" s="936"/>
      <c r="E60" s="943" t="str">
        <f aca="false">IFERROR(Afvulverslag!M82/Afvulverslag!K82,"")</f>
        <v/>
      </c>
      <c r="F60" s="936"/>
      <c r="I60" s="906" t="s">
        <v>436</v>
      </c>
      <c r="J60" s="849"/>
      <c r="K60" s="47"/>
      <c r="L60" s="899"/>
      <c r="M60" s="900"/>
      <c r="N60" s="900"/>
      <c r="O60" s="900"/>
      <c r="P60" s="900"/>
      <c r="Q60" s="900"/>
      <c r="R60" s="900"/>
      <c r="T60" s="242" t="s">
        <v>96</v>
      </c>
      <c r="U60" s="242" t="s">
        <v>96</v>
      </c>
      <c r="V60" s="242" t="s">
        <v>96</v>
      </c>
    </row>
    <row r="61" s="21" customFormat="true" ht="15" hidden="false" customHeight="true" outlineLevel="0" collapsed="false">
      <c r="A61" s="452" t="s">
        <v>491</v>
      </c>
      <c r="B61" s="935"/>
      <c r="C61" s="944" t="n">
        <f aca="false">SUM(Afvulverslag!M86:M88)</f>
        <v>0</v>
      </c>
      <c r="D61" s="936"/>
      <c r="E61" s="936"/>
      <c r="F61" s="936"/>
      <c r="I61" s="302" t="s">
        <v>502</v>
      </c>
      <c r="J61" s="849" t="s">
        <v>440</v>
      </c>
      <c r="K61" s="44" t="n">
        <f aca="false">'Recept-voorblad'!$M$13</f>
        <v>0</v>
      </c>
      <c r="L61" s="899" t="n">
        <f aca="false">'Recept-voorblad'!$L$13</f>
        <v>0</v>
      </c>
      <c r="M61" s="900"/>
      <c r="N61" s="900"/>
      <c r="O61" s="900"/>
      <c r="P61" s="900"/>
      <c r="Q61" s="900"/>
      <c r="R61" s="900"/>
      <c r="T61" s="245"/>
      <c r="U61" s="245"/>
      <c r="V61" s="245"/>
    </row>
    <row r="62" s="21" customFormat="true" ht="15" hidden="false" customHeight="true" outlineLevel="0" collapsed="false">
      <c r="A62" s="937"/>
      <c r="B62" s="938"/>
      <c r="C62" s="939"/>
      <c r="D62" s="939"/>
      <c r="E62" s="939"/>
      <c r="F62" s="939"/>
      <c r="I62" s="908" t="s">
        <v>503</v>
      </c>
      <c r="J62" s="909" t="s">
        <v>440</v>
      </c>
      <c r="K62" s="44" t="n">
        <f aca="false">'Recept-voorblad'!$M$15</f>
        <v>0</v>
      </c>
      <c r="L62" s="899" t="n">
        <f aca="false">'Recept-voorblad'!$L$15</f>
        <v>0</v>
      </c>
      <c r="M62" s="910"/>
      <c r="N62" s="910"/>
      <c r="O62" s="910"/>
      <c r="P62" s="910"/>
      <c r="Q62" s="910"/>
      <c r="R62" s="910"/>
    </row>
    <row r="63" s="21" customFormat="true" ht="17.25" hidden="false" customHeight="true" outlineLevel="0" collapsed="false">
      <c r="I63" s="912" t="s">
        <v>504</v>
      </c>
      <c r="J63" s="913" t="s">
        <v>425</v>
      </c>
      <c r="K63" s="914" t="n">
        <f aca="false">'Recept-voorblad'!$M$17</f>
        <v>0</v>
      </c>
      <c r="L63" s="915" t="n">
        <f aca="false">'Recept-voorblad'!$L$17</f>
        <v>0</v>
      </c>
      <c r="M63" s="916"/>
      <c r="N63" s="916"/>
      <c r="O63" s="916"/>
      <c r="P63" s="916"/>
      <c r="Q63" s="916"/>
      <c r="R63" s="916"/>
    </row>
    <row r="64" s="21" customFormat="true" ht="15" hidden="false" customHeight="true" outlineLevel="0" collapsed="false">
      <c r="A64" s="931" t="s">
        <v>505</v>
      </c>
      <c r="B64" s="931"/>
      <c r="C64" s="932" t="s">
        <v>506</v>
      </c>
      <c r="D64" s="945" t="s">
        <v>507</v>
      </c>
      <c r="E64" s="946" t="s">
        <v>508</v>
      </c>
      <c r="F64" s="946" t="s">
        <v>509</v>
      </c>
      <c r="G64" s="242"/>
      <c r="I64" s="284" t="s">
        <v>421</v>
      </c>
      <c r="J64" s="894"/>
      <c r="K64" s="895"/>
      <c r="L64" s="896"/>
      <c r="M64" s="897"/>
      <c r="N64" s="897"/>
      <c r="O64" s="897"/>
      <c r="P64" s="897"/>
      <c r="Q64" s="897"/>
      <c r="R64" s="897"/>
    </row>
    <row r="65" s="21" customFormat="true" ht="15" hidden="false" customHeight="true" outlineLevel="0" collapsed="false">
      <c r="A65" s="439" t="s">
        <v>510</v>
      </c>
      <c r="B65" s="933"/>
      <c r="C65" s="947" t="str">
        <f aca="false">IF(E65,(100-((100-(100*NORMSDIST(((K31+L31)-D65)/F65)))+(100-(100*NORMSDIST((D65-(K31-L31))/F65)))))/100,"")</f>
        <v/>
      </c>
      <c r="D65" s="948" t="e">
        <f aca="false">AVERAGE(M31:R31,M41:R41,M51:R51,M61:R61,M71:R71,M81:R81,M91:R91)</f>
        <v>#DIV/0!</v>
      </c>
      <c r="E65" s="949" t="n">
        <f aca="false">((K31+L31)-(K31-L31))/(4*F65)</f>
        <v>0</v>
      </c>
      <c r="F65" s="243" t="n">
        <f aca="false">IF(COUNT(M31:R31,M41:R41,M51:R51,M61:R61,M71:R71,M81:R81,M91:R91)&gt;1,STDEV(M31:R31,M41:R41,M51:R51,M61:R61,M71:R71,M81:R81,M91:R91),0.01)</f>
        <v>0.01</v>
      </c>
      <c r="G65" s="242"/>
      <c r="I65" s="302" t="s">
        <v>511</v>
      </c>
      <c r="J65" s="849" t="s">
        <v>425</v>
      </c>
      <c r="K65" s="47" t="n">
        <f aca="false">'Recept-voorblad'!$M$16+'Recept-voorblad'!$M$17</f>
        <v>0</v>
      </c>
      <c r="L65" s="899" t="s">
        <v>311</v>
      </c>
      <c r="M65" s="950"/>
      <c r="N65" s="950"/>
      <c r="O65" s="950"/>
      <c r="P65" s="950"/>
      <c r="Q65" s="950"/>
      <c r="R65" s="950"/>
    </row>
    <row r="66" s="21" customFormat="true" ht="15" hidden="false" customHeight="true" outlineLevel="0" collapsed="false">
      <c r="A66" s="452" t="s">
        <v>512</v>
      </c>
      <c r="B66" s="935"/>
      <c r="C66" s="951" t="str">
        <f aca="false">IF(E66,(100-((100-(100*NORMSDIST((K26-D66)/F66)))))/100,"")</f>
        <v/>
      </c>
      <c r="D66" s="952" t="e">
        <f aca="false">AVERAGE(M26:R26,M36:R36,M46:R46,M56:R56,M66:R66,M76:R76,M86:R86)</f>
        <v>#DIV/0!</v>
      </c>
      <c r="E66" s="953" t="n">
        <f aca="false">((K26)/(4*F66))</f>
        <v>0</v>
      </c>
      <c r="F66" s="242" t="n">
        <f aca="false">IF(COUNT(M26:R26,M36:R36,M46:R46,M56:R56,M66:R66,M76:R76,M86:R86)&gt;1,STDEV(M26:R26,M36:R36,M46:R46,M56:R56,M66:R66,M76:R76,M86:R86),0.01)</f>
        <v>0.01</v>
      </c>
      <c r="G66" s="242"/>
      <c r="I66" s="302" t="s">
        <v>513</v>
      </c>
      <c r="J66" s="849" t="s">
        <v>425</v>
      </c>
      <c r="K66" s="47" t="n">
        <f aca="false">'Recept-voorblad'!$M$16</f>
        <v>0</v>
      </c>
      <c r="L66" s="899" t="n">
        <f aca="false">'Recept-voorblad'!$L$16</f>
        <v>0</v>
      </c>
      <c r="M66" s="950"/>
      <c r="N66" s="950"/>
      <c r="O66" s="950"/>
      <c r="P66" s="950"/>
      <c r="Q66" s="950"/>
      <c r="R66" s="950"/>
    </row>
    <row r="67" s="21" customFormat="true" ht="15" hidden="false" customHeight="true" outlineLevel="0" collapsed="false">
      <c r="A67" s="452" t="s">
        <v>514</v>
      </c>
      <c r="B67" s="935"/>
      <c r="C67" s="951" t="str">
        <f aca="false">IF(E67,(100-((100-(100*NORMSDIST((K27-D67)/F67)))))/100,"")</f>
        <v/>
      </c>
      <c r="D67" s="952" t="e">
        <f aca="false">AVERAGE(M27:R27,M37:R37,M47:R47,M57:R57,M67:R67,M77:R77,M87:R87)</f>
        <v>#DIV/0!</v>
      </c>
      <c r="E67" s="953" t="n">
        <f aca="false">((K27)/(4*F67))</f>
        <v>0</v>
      </c>
      <c r="F67" s="242" t="n">
        <f aca="false">IF(COUNT(M27:R27,M37:R37,M47:R47,M57:R57,M67:R67,M77:R77,M87:R87)&gt;1,STDEV(M27:R27,M37:R37,M47:R47,M57:R57,M67:R67,M77:R77,M87:R87),0.01)</f>
        <v>0.01</v>
      </c>
      <c r="G67" s="242"/>
      <c r="I67" s="302" t="s">
        <v>515</v>
      </c>
      <c r="J67" s="849" t="s">
        <v>425</v>
      </c>
      <c r="K67" s="47" t="n">
        <f aca="false">'Recept-voorblad'!$M$17</f>
        <v>0</v>
      </c>
      <c r="L67" s="899"/>
      <c r="M67" s="950"/>
      <c r="N67" s="950"/>
      <c r="O67" s="950"/>
      <c r="P67" s="950"/>
      <c r="Q67" s="950"/>
      <c r="R67" s="950"/>
    </row>
    <row r="68" s="21" customFormat="true" ht="15" hidden="false" customHeight="true" outlineLevel="0" collapsed="false">
      <c r="A68" s="452" t="s">
        <v>516</v>
      </c>
      <c r="B68" s="935"/>
      <c r="C68" s="951" t="str">
        <f aca="false">IF(E68,(100-((100-(100*NORMSDIST((K25-D68)/F68)))))/100,"")</f>
        <v/>
      </c>
      <c r="D68" s="952" t="e">
        <f aca="false">AVERAGE(M25:R25,M35:R35,M45:R45,M55:R55,M65:R65,M75:R75,M85:R85)</f>
        <v>#DIV/0!</v>
      </c>
      <c r="E68" s="953" t="n">
        <f aca="false">((K25)/(4*F68))</f>
        <v>0</v>
      </c>
      <c r="F68" s="242" t="n">
        <f aca="false">IF(COUNT(M25:R25,M35:R35,M45:R45,M55:R55,M65:R65,M75:R75,M85:R85)&gt;1,STDEV(M25:R25,M35:R35,M45:R45,M55:R55,M65:R65,M75:R75,M85:R85),0.01)</f>
        <v>0.01</v>
      </c>
      <c r="G68" s="242"/>
      <c r="I68" s="906" t="s">
        <v>431</v>
      </c>
      <c r="J68" s="849"/>
      <c r="K68" s="47"/>
      <c r="L68" s="899"/>
      <c r="M68" s="950"/>
      <c r="N68" s="950"/>
      <c r="O68" s="950"/>
      <c r="P68" s="950"/>
      <c r="Q68" s="950"/>
      <c r="R68" s="950"/>
    </row>
    <row r="69" s="21" customFormat="true" ht="15" hidden="false" customHeight="true" outlineLevel="0" collapsed="false">
      <c r="A69" s="954" t="s">
        <v>27</v>
      </c>
      <c r="B69" s="955"/>
      <c r="C69" s="956" t="n">
        <f aca="false">IF(E69,(100-((100-(100*NORMSDIST(((K32+L32)-D69)/F69)))+(100-(100*NORMSDIST((D69-(K32-L32))/F69)))))/100,FALSE())</f>
        <v>0</v>
      </c>
      <c r="D69" s="952" t="e">
        <f aca="false">AVERAGE(M32:R32,M42:R42,M52:R52,M62:R62,M72:R72,M82:R82,M92:R92)</f>
        <v>#DIV/0!</v>
      </c>
      <c r="E69" s="953" t="n">
        <f aca="false">((K32+L32)-(K32-L32))/(4*F69)</f>
        <v>0</v>
      </c>
      <c r="F69" s="242" t="n">
        <f aca="false">IF(COUNT(M32:R32,M42:R42,M52:R52,M62:R62,M71:R71,M81:R81,M91:R91)&gt;1,STDEV(M32:R32,M42:R42,M52:R52,M62:R62,M71:R71,M81:R81,M91:R91),0.01)</f>
        <v>0.01</v>
      </c>
      <c r="G69" s="242"/>
      <c r="I69" s="906" t="s">
        <v>433</v>
      </c>
      <c r="J69" s="849"/>
      <c r="K69" s="47"/>
      <c r="L69" s="899"/>
      <c r="M69" s="950"/>
      <c r="N69" s="950"/>
      <c r="O69" s="950"/>
      <c r="P69" s="950"/>
      <c r="Q69" s="950"/>
      <c r="R69" s="950"/>
    </row>
    <row r="70" s="21" customFormat="true" ht="17.25" hidden="false" customHeight="true" outlineLevel="0" collapsed="false">
      <c r="A70" s="954" t="s">
        <v>517</v>
      </c>
      <c r="B70" s="955"/>
      <c r="C70" s="957" t="str">
        <f aca="false">IF(E70,(100-((100-(100*NORMSDIST((K33-D70)/F70)))))/100,"")</f>
        <v/>
      </c>
      <c r="D70" s="952" t="e">
        <f aca="false">AVERAGE(M33:R33,M43:R43,M53:R53,M63:R63,M73:R73,M83:R83,M93:R93)</f>
        <v>#DIV/0!</v>
      </c>
      <c r="E70" s="953" t="n">
        <f aca="false">((K33)/(4*F70))</f>
        <v>0</v>
      </c>
      <c r="F70" s="242" t="n">
        <f aca="false">IF(COUNT(M33:R33,M43:R43,M53:R53,M63:R63,M72:R72,M82:R82,M92:R92)&gt;1,STDEV(M33:R33,M43:R43,M53:R53,M63:R63,M72:R72,M82:R82,M92:R92),0.01)</f>
        <v>0.01</v>
      </c>
      <c r="G70" s="242"/>
      <c r="I70" s="906" t="s">
        <v>436</v>
      </c>
      <c r="J70" s="849"/>
      <c r="K70" s="47"/>
      <c r="L70" s="899"/>
      <c r="M70" s="950"/>
      <c r="N70" s="950"/>
      <c r="O70" s="950"/>
      <c r="P70" s="950"/>
      <c r="Q70" s="950"/>
      <c r="R70" s="950"/>
    </row>
    <row r="71" s="21" customFormat="true" ht="15" hidden="false" customHeight="true" outlineLevel="0" collapsed="false">
      <c r="I71" s="302" t="s">
        <v>518</v>
      </c>
      <c r="J71" s="849" t="s">
        <v>440</v>
      </c>
      <c r="K71" s="44" t="n">
        <f aca="false">'Recept-voorblad'!$M$13</f>
        <v>0</v>
      </c>
      <c r="L71" s="899" t="n">
        <f aca="false">'Recept-voorblad'!$L$13</f>
        <v>0</v>
      </c>
      <c r="M71" s="950"/>
      <c r="N71" s="950"/>
      <c r="O71" s="950"/>
      <c r="P71" s="950"/>
      <c r="Q71" s="950"/>
      <c r="R71" s="950"/>
    </row>
    <row r="72" s="21" customFormat="true" ht="15" hidden="false" customHeight="true" outlineLevel="0" collapsed="false">
      <c r="I72" s="908" t="s">
        <v>519</v>
      </c>
      <c r="J72" s="909" t="s">
        <v>440</v>
      </c>
      <c r="K72" s="44" t="n">
        <f aca="false">'Recept-voorblad'!$M$15</f>
        <v>0</v>
      </c>
      <c r="L72" s="899" t="n">
        <f aca="false">'Recept-voorblad'!$L$15</f>
        <v>0</v>
      </c>
      <c r="M72" s="910"/>
      <c r="N72" s="910"/>
      <c r="O72" s="910"/>
      <c r="P72" s="910"/>
      <c r="Q72" s="910"/>
      <c r="R72" s="910"/>
    </row>
    <row r="73" s="21" customFormat="true" ht="15" hidden="false" customHeight="true" outlineLevel="0" collapsed="false">
      <c r="I73" s="908" t="s">
        <v>520</v>
      </c>
      <c r="J73" s="913" t="s">
        <v>425</v>
      </c>
      <c r="K73" s="914" t="n">
        <f aca="false">'Recept-voorblad'!$M$17</f>
        <v>0</v>
      </c>
      <c r="L73" s="915" t="n">
        <f aca="false">'Recept-voorblad'!$L$17</f>
        <v>0</v>
      </c>
      <c r="M73" s="916"/>
      <c r="N73" s="916"/>
      <c r="O73" s="916"/>
      <c r="P73" s="916"/>
      <c r="Q73" s="916"/>
      <c r="R73" s="916"/>
    </row>
    <row r="74" s="21" customFormat="true" ht="15" hidden="false" customHeight="true" outlineLevel="0" collapsed="false">
      <c r="I74" s="284" t="s">
        <v>421</v>
      </c>
      <c r="J74" s="894"/>
      <c r="K74" s="895"/>
      <c r="L74" s="896"/>
      <c r="M74" s="897"/>
      <c r="N74" s="897"/>
      <c r="O74" s="897"/>
      <c r="P74" s="897"/>
      <c r="Q74" s="897"/>
      <c r="R74" s="897"/>
    </row>
    <row r="75" s="21" customFormat="true" ht="15" hidden="false" customHeight="true" outlineLevel="0" collapsed="false">
      <c r="I75" s="302" t="s">
        <v>521</v>
      </c>
      <c r="J75" s="849" t="s">
        <v>425</v>
      </c>
      <c r="K75" s="47" t="n">
        <f aca="false">'Recept-voorblad'!$M$16+'Recept-voorblad'!$M$17</f>
        <v>0</v>
      </c>
      <c r="L75" s="899" t="s">
        <v>311</v>
      </c>
      <c r="M75" s="950"/>
      <c r="N75" s="950"/>
      <c r="O75" s="950"/>
      <c r="P75" s="950"/>
      <c r="Q75" s="950"/>
      <c r="R75" s="950"/>
    </row>
    <row r="76" s="21" customFormat="true" ht="15" hidden="false" customHeight="true" outlineLevel="0" collapsed="false">
      <c r="I76" s="302" t="s">
        <v>522</v>
      </c>
      <c r="J76" s="849" t="s">
        <v>425</v>
      </c>
      <c r="K76" s="47" t="n">
        <f aca="false">'Recept-voorblad'!$M$16</f>
        <v>0</v>
      </c>
      <c r="L76" s="899" t="n">
        <f aca="false">'Recept-voorblad'!$L$16</f>
        <v>0</v>
      </c>
      <c r="M76" s="950"/>
      <c r="N76" s="950"/>
      <c r="O76" s="950"/>
      <c r="P76" s="950"/>
      <c r="Q76" s="950"/>
      <c r="R76" s="950"/>
    </row>
    <row r="77" s="21" customFormat="true" ht="15" hidden="false" customHeight="true" outlineLevel="0" collapsed="false">
      <c r="I77" s="302" t="s">
        <v>523</v>
      </c>
      <c r="J77" s="849" t="s">
        <v>425</v>
      </c>
      <c r="K77" s="47" t="n">
        <f aca="false">'Recept-voorblad'!$M$17</f>
        <v>0</v>
      </c>
      <c r="L77" s="899"/>
      <c r="M77" s="950"/>
      <c r="N77" s="950"/>
      <c r="O77" s="950"/>
      <c r="P77" s="950"/>
      <c r="Q77" s="950"/>
      <c r="R77" s="950"/>
    </row>
    <row r="78" s="21" customFormat="true" ht="15" hidden="false" customHeight="true" outlineLevel="0" collapsed="false">
      <c r="I78" s="906" t="s">
        <v>431</v>
      </c>
      <c r="J78" s="849"/>
      <c r="K78" s="47"/>
      <c r="L78" s="899"/>
      <c r="M78" s="950"/>
      <c r="N78" s="950"/>
      <c r="O78" s="950"/>
      <c r="P78" s="950"/>
      <c r="Q78" s="950"/>
      <c r="R78" s="950"/>
    </row>
    <row r="79" s="21" customFormat="true" ht="15" hidden="false" customHeight="true" outlineLevel="0" collapsed="false">
      <c r="I79" s="906" t="s">
        <v>433</v>
      </c>
      <c r="J79" s="849"/>
      <c r="K79" s="47"/>
      <c r="L79" s="899"/>
      <c r="M79" s="950"/>
      <c r="N79" s="950"/>
      <c r="O79" s="950"/>
      <c r="P79" s="950"/>
      <c r="Q79" s="950"/>
      <c r="R79" s="950"/>
    </row>
    <row r="80" s="21" customFormat="true" ht="17.25" hidden="false" customHeight="true" outlineLevel="0" collapsed="false">
      <c r="I80" s="906" t="s">
        <v>436</v>
      </c>
      <c r="J80" s="849"/>
      <c r="K80" s="47"/>
      <c r="L80" s="899"/>
      <c r="M80" s="950"/>
      <c r="N80" s="950"/>
      <c r="O80" s="950"/>
      <c r="P80" s="950"/>
      <c r="Q80" s="950"/>
      <c r="R80" s="950"/>
    </row>
    <row r="81" s="21" customFormat="true" ht="15" hidden="false" customHeight="true" outlineLevel="0" collapsed="false">
      <c r="I81" s="302" t="s">
        <v>524</v>
      </c>
      <c r="J81" s="849" t="s">
        <v>440</v>
      </c>
      <c r="K81" s="44" t="n">
        <f aca="false">'Recept-voorblad'!$M$13</f>
        <v>0</v>
      </c>
      <c r="L81" s="899" t="n">
        <f aca="false">'Recept-voorblad'!$L$13</f>
        <v>0</v>
      </c>
      <c r="M81" s="950"/>
      <c r="N81" s="950"/>
      <c r="O81" s="950"/>
      <c r="P81" s="950"/>
      <c r="Q81" s="950"/>
      <c r="R81" s="950"/>
    </row>
    <row r="82" s="21" customFormat="true" ht="15" hidden="false" customHeight="true" outlineLevel="0" collapsed="false">
      <c r="I82" s="908" t="s">
        <v>525</v>
      </c>
      <c r="J82" s="909" t="s">
        <v>440</v>
      </c>
      <c r="K82" s="44" t="n">
        <f aca="false">'Recept-voorblad'!$M$15</f>
        <v>0</v>
      </c>
      <c r="L82" s="899" t="n">
        <f aca="false">'Recept-voorblad'!$L$15</f>
        <v>0</v>
      </c>
      <c r="M82" s="910"/>
      <c r="N82" s="910"/>
      <c r="O82" s="910"/>
      <c r="P82" s="910"/>
      <c r="Q82" s="910"/>
      <c r="R82" s="910"/>
    </row>
    <row r="83" s="21" customFormat="true" ht="15" hidden="false" customHeight="true" outlineLevel="0" collapsed="false">
      <c r="I83" s="912" t="s">
        <v>526</v>
      </c>
      <c r="J83" s="913" t="s">
        <v>425</v>
      </c>
      <c r="K83" s="914" t="n">
        <f aca="false">'Recept-voorblad'!$M$17</f>
        <v>0</v>
      </c>
      <c r="L83" s="915" t="n">
        <f aca="false">'Recept-voorblad'!$L$17</f>
        <v>0</v>
      </c>
      <c r="M83" s="916"/>
      <c r="N83" s="916"/>
      <c r="O83" s="916"/>
      <c r="P83" s="916"/>
      <c r="Q83" s="916"/>
      <c r="R83" s="916"/>
    </row>
    <row r="84" s="21" customFormat="true" ht="15" hidden="false" customHeight="true" outlineLevel="0" collapsed="false">
      <c r="I84" s="302" t="s">
        <v>421</v>
      </c>
      <c r="J84" s="894"/>
      <c r="K84" s="895"/>
      <c r="L84" s="896"/>
      <c r="M84" s="897"/>
      <c r="N84" s="897"/>
      <c r="O84" s="897"/>
      <c r="P84" s="897"/>
      <c r="Q84" s="897"/>
      <c r="R84" s="897"/>
    </row>
    <row r="85" s="21" customFormat="true" ht="15" hidden="false" customHeight="true" outlineLevel="0" collapsed="false">
      <c r="I85" s="302" t="s">
        <v>527</v>
      </c>
      <c r="J85" s="849" t="s">
        <v>425</v>
      </c>
      <c r="K85" s="47" t="n">
        <f aca="false">'Recept-voorblad'!$M$16+'Recept-voorblad'!$M$17</f>
        <v>0</v>
      </c>
      <c r="L85" s="899" t="s">
        <v>311</v>
      </c>
      <c r="M85" s="950"/>
      <c r="N85" s="950"/>
      <c r="O85" s="950"/>
      <c r="P85" s="950"/>
      <c r="Q85" s="950"/>
      <c r="R85" s="950"/>
    </row>
    <row r="86" s="21" customFormat="true" ht="15" hidden="false" customHeight="true" outlineLevel="0" collapsed="false">
      <c r="I86" s="302" t="s">
        <v>528</v>
      </c>
      <c r="J86" s="849" t="s">
        <v>425</v>
      </c>
      <c r="K86" s="47" t="n">
        <f aca="false">'Recept-voorblad'!$M$16</f>
        <v>0</v>
      </c>
      <c r="L86" s="899" t="n">
        <f aca="false">'Recept-voorblad'!$L$16</f>
        <v>0</v>
      </c>
      <c r="M86" s="950"/>
      <c r="N86" s="950"/>
      <c r="O86" s="950"/>
      <c r="P86" s="950"/>
      <c r="Q86" s="950"/>
      <c r="R86" s="950"/>
    </row>
    <row r="87" s="21" customFormat="true" ht="15" hidden="false" customHeight="true" outlineLevel="0" collapsed="false">
      <c r="I87" s="302" t="s">
        <v>529</v>
      </c>
      <c r="J87" s="849" t="s">
        <v>425</v>
      </c>
      <c r="K87" s="47" t="n">
        <f aca="false">'Recept-voorblad'!$M$17</f>
        <v>0</v>
      </c>
      <c r="L87" s="899"/>
      <c r="M87" s="950"/>
      <c r="N87" s="950"/>
      <c r="O87" s="950"/>
      <c r="P87" s="950"/>
      <c r="Q87" s="950"/>
      <c r="R87" s="950"/>
    </row>
    <row r="88" s="21" customFormat="true" ht="15" hidden="false" customHeight="true" outlineLevel="0" collapsed="false">
      <c r="I88" s="906" t="s">
        <v>431</v>
      </c>
      <c r="J88" s="849"/>
      <c r="K88" s="47"/>
      <c r="L88" s="899"/>
      <c r="M88" s="950"/>
      <c r="N88" s="950"/>
      <c r="O88" s="950"/>
      <c r="P88" s="950"/>
      <c r="Q88" s="950"/>
      <c r="R88" s="950"/>
    </row>
    <row r="89" s="21" customFormat="true" ht="15" hidden="false" customHeight="true" outlineLevel="0" collapsed="false">
      <c r="I89" s="906" t="s">
        <v>433</v>
      </c>
      <c r="J89" s="849"/>
      <c r="K89" s="47"/>
      <c r="L89" s="899"/>
      <c r="M89" s="950"/>
      <c r="N89" s="950"/>
      <c r="O89" s="950"/>
      <c r="P89" s="950"/>
      <c r="Q89" s="950"/>
      <c r="R89" s="950"/>
    </row>
    <row r="90" s="21" customFormat="true" ht="17.25" hidden="false" customHeight="true" outlineLevel="0" collapsed="false">
      <c r="I90" s="906" t="s">
        <v>436</v>
      </c>
      <c r="J90" s="849"/>
      <c r="K90" s="47"/>
      <c r="L90" s="899"/>
      <c r="M90" s="950"/>
      <c r="N90" s="950"/>
      <c r="O90" s="950"/>
      <c r="P90" s="950"/>
      <c r="Q90" s="950"/>
      <c r="R90" s="950"/>
    </row>
    <row r="91" s="21" customFormat="true" ht="15" hidden="false" customHeight="true" outlineLevel="0" collapsed="false">
      <c r="I91" s="302" t="s">
        <v>530</v>
      </c>
      <c r="J91" s="849" t="s">
        <v>440</v>
      </c>
      <c r="K91" s="44" t="n">
        <f aca="false">'Recept-voorblad'!$M$13</f>
        <v>0</v>
      </c>
      <c r="L91" s="899" t="n">
        <f aca="false">'Recept-voorblad'!$L$13</f>
        <v>0</v>
      </c>
      <c r="M91" s="950"/>
      <c r="N91" s="950"/>
      <c r="O91" s="950"/>
      <c r="P91" s="950"/>
      <c r="Q91" s="950"/>
      <c r="R91" s="950"/>
    </row>
    <row r="92" s="21" customFormat="true" ht="15" hidden="false" customHeight="true" outlineLevel="0" collapsed="false">
      <c r="I92" s="908" t="s">
        <v>531</v>
      </c>
      <c r="J92" s="909" t="s">
        <v>440</v>
      </c>
      <c r="K92" s="44" t="n">
        <f aca="false">'Recept-voorblad'!$M$15</f>
        <v>0</v>
      </c>
      <c r="L92" s="899" t="n">
        <f aca="false">'Recept-voorblad'!$L$15</f>
        <v>0</v>
      </c>
      <c r="M92" s="910"/>
      <c r="N92" s="910"/>
      <c r="O92" s="910"/>
      <c r="P92" s="910"/>
      <c r="Q92" s="910"/>
      <c r="R92" s="910"/>
    </row>
    <row r="93" s="21" customFormat="true" ht="15" hidden="false" customHeight="true" outlineLevel="0" collapsed="false">
      <c r="I93" s="908" t="s">
        <v>532</v>
      </c>
      <c r="J93" s="913" t="s">
        <v>425</v>
      </c>
      <c r="K93" s="914" t="n">
        <f aca="false">'Recept-voorblad'!$M$17</f>
        <v>0</v>
      </c>
      <c r="L93" s="915" t="n">
        <f aca="false">'Recept-voorblad'!$L$17</f>
        <v>0</v>
      </c>
      <c r="M93" s="916"/>
      <c r="N93" s="916"/>
      <c r="O93" s="916"/>
      <c r="P93" s="916"/>
      <c r="Q93" s="916"/>
      <c r="R93" s="916"/>
    </row>
    <row r="94" customFormat="false" ht="13.5" hidden="false" customHeight="true" outlineLevel="0" collapsed="false"/>
    <row r="95" customFormat="false" ht="13.5" hidden="false" customHeight="true" outlineLevel="0" collapsed="false"/>
    <row r="96" customFormat="false" ht="13.5" hidden="false" customHeight="true" outlineLevel="0" collapsed="false"/>
    <row r="97" customFormat="false" ht="13.5" hidden="false" customHeight="true" outlineLevel="0" collapsed="false"/>
    <row r="98" s="21" customFormat="true" ht="15" hidden="false" customHeight="true" outlineLevel="0" collapsed="false">
      <c r="I98" s="325" t="s">
        <v>429</v>
      </c>
      <c r="J98" s="416" t="s">
        <v>425</v>
      </c>
      <c r="K98" s="958" t="n">
        <f aca="false">'Recept-voorblad'!$M$17</f>
        <v>0</v>
      </c>
    </row>
    <row r="99" s="21" customFormat="true" ht="15" hidden="false" customHeight="true" outlineLevel="0" collapsed="false">
      <c r="I99" s="21" t="s">
        <v>431</v>
      </c>
      <c r="J99" s="416"/>
      <c r="K99" s="958"/>
    </row>
    <row r="100" customFormat="false" ht="13.5" hidden="true" customHeight="true" outlineLevel="0" collapsed="false">
      <c r="I100" s="21" t="s">
        <v>433</v>
      </c>
      <c r="J100" s="416"/>
      <c r="K100" s="958"/>
    </row>
    <row r="101" customFormat="false" ht="13.5" hidden="true" customHeight="true" outlineLevel="0" collapsed="false">
      <c r="I101" s="21" t="s">
        <v>436</v>
      </c>
      <c r="J101" s="416"/>
      <c r="K101" s="958"/>
    </row>
    <row r="102" customFormat="false" ht="13.5" hidden="true" customHeight="true" outlineLevel="0" collapsed="false">
      <c r="I102" s="325" t="s">
        <v>439</v>
      </c>
      <c r="J102" s="416" t="s">
        <v>440</v>
      </c>
      <c r="K102" s="959" t="n">
        <f aca="false">'Recept-voorblad'!$M$13</f>
        <v>0</v>
      </c>
    </row>
    <row r="103" customFormat="false" ht="13.5" hidden="true" customHeight="true" outlineLevel="0" collapsed="false">
      <c r="I103" s="325" t="s">
        <v>442</v>
      </c>
      <c r="J103" s="416" t="s">
        <v>440</v>
      </c>
      <c r="K103" s="959" t="n">
        <f aca="false">'Recept-voorblad'!$M$15</f>
        <v>0</v>
      </c>
    </row>
    <row r="104" customFormat="false" ht="13.5" hidden="true" customHeight="true" outlineLevel="0" collapsed="false">
      <c r="I104" s="325" t="s">
        <v>444</v>
      </c>
      <c r="J104" s="416" t="s">
        <v>425</v>
      </c>
      <c r="K104" s="959" t="n">
        <f aca="false">'Recept-voorblad'!$M$17</f>
        <v>0</v>
      </c>
    </row>
  </sheetData>
  <mergeCells count="28">
    <mergeCell ref="A1:R2"/>
    <mergeCell ref="A3:B4"/>
    <mergeCell ref="C3:C4"/>
    <mergeCell ref="D3:D4"/>
    <mergeCell ref="E3:G4"/>
    <mergeCell ref="I3:R4"/>
    <mergeCell ref="E5:G5"/>
    <mergeCell ref="I5:L11"/>
    <mergeCell ref="A6:B6"/>
    <mergeCell ref="E6:G10"/>
    <mergeCell ref="A7:B7"/>
    <mergeCell ref="A8:B8"/>
    <mergeCell ref="A9:B9"/>
    <mergeCell ref="A10:B10"/>
    <mergeCell ref="A11:B11"/>
    <mergeCell ref="A12:B12"/>
    <mergeCell ref="I13:L13"/>
    <mergeCell ref="A14:G14"/>
    <mergeCell ref="A15:G15"/>
    <mergeCell ref="E16:G16"/>
    <mergeCell ref="I16:L16"/>
    <mergeCell ref="I17:L17"/>
    <mergeCell ref="I18:L18"/>
    <mergeCell ref="I19:L19"/>
    <mergeCell ref="I20:L20"/>
    <mergeCell ref="I21:L21"/>
    <mergeCell ref="A47:C47"/>
    <mergeCell ref="A48:G50"/>
  </mergeCells>
  <conditionalFormatting sqref="U48">
    <cfRule type="expression" priority="2" aboveAverage="0" equalAverage="0" bottom="0" percent="0" rank="0" text="" dxfId="26">
      <formula>$V$48 &gt; 0.99</formula>
    </cfRule>
  </conditionalFormatting>
  <conditionalFormatting sqref="U47">
    <cfRule type="expression" priority="3" aboveAverage="0" equalAverage="0" bottom="0" percent="0" rank="0" text="" dxfId="26">
      <formula>$V$47 &gt; 0.025</formula>
    </cfRule>
  </conditionalFormatting>
  <conditionalFormatting sqref="U46">
    <cfRule type="cellIs" priority="4" operator="lessThan" aboveAverage="0" equalAverage="0" bottom="0" percent="0" rank="0" text="" dxfId="26">
      <formula>$V$46</formula>
    </cfRule>
  </conditionalFormatting>
  <conditionalFormatting sqref="M25:R33 M35:R43 M45:R53 M55:R63 M65:R73 M75:R83 M85:R93">
    <cfRule type="expression" priority="5" aboveAverage="0" equalAverage="0" bottom="0" percent="0" rank="0" text="" dxfId="14">
      <formula>LEN(TRIM(M25))=0</formula>
    </cfRule>
  </conditionalFormatting>
  <conditionalFormatting sqref="M31:R31 M41:R41 M51:R51 M61:R61 M71:R71 M81:R81 M91:R91">
    <cfRule type="cellIs" priority="6" operator="greaterThan" aboveAverage="0" equalAverage="0" bottom="0" percent="0" rank="0" text="" dxfId="12">
      <formula>$K$31+$L$31</formula>
    </cfRule>
    <cfRule type="cellIs" priority="7" operator="lessThan" aboveAverage="0" equalAverage="0" bottom="0" percent="0" rank="0" text="" dxfId="12">
      <formula>$K$31-$L$31</formula>
    </cfRule>
    <cfRule type="cellIs" priority="8" operator="between" aboveAverage="0" equalAverage="0" bottom="0" percent="0" rank="0" text="" dxfId="27">
      <formula>$K$31-$L$31</formula>
      <formula>$K$31+$L$31</formula>
    </cfRule>
  </conditionalFormatting>
  <conditionalFormatting sqref="M32:R32 M42:R42 M52:R52 M62:R62 M72:R72 M82:R82 M92:R92">
    <cfRule type="cellIs" priority="9" operator="lessThan" aboveAverage="0" equalAverage="0" bottom="0" percent="0" rank="0" text="" dxfId="12">
      <formula>$K$32-$L$32</formula>
    </cfRule>
    <cfRule type="cellIs" priority="10" operator="greaterThan" aboveAverage="0" equalAverage="0" bottom="0" percent="0" rank="0" text="" dxfId="12">
      <formula>$K$32+$L$32</formula>
    </cfRule>
    <cfRule type="cellIs" priority="11" operator="between" aboveAverage="0" equalAverage="0" bottom="0" percent="0" rank="0" text="" dxfId="27">
      <formula>$K$32-$L$32</formula>
      <formula>$K$32+$L$32</formula>
    </cfRule>
  </conditionalFormatting>
  <conditionalFormatting sqref="M27:R27 M37:R37 M47:R47 M57:R57 M67:R67 M77:R77 M87:R87">
    <cfRule type="cellIs" priority="12" operator="greaterThan" aboveAverage="0" equalAverage="0" bottom="0" percent="0" rank="0" text="" dxfId="12">
      <formula>$K$27</formula>
    </cfRule>
    <cfRule type="cellIs" priority="13" operator="lessThan" aboveAverage="0" equalAverage="0" bottom="0" percent="0" rank="0" text="" dxfId="27">
      <formula>$K$27</formula>
    </cfRule>
  </conditionalFormatting>
  <conditionalFormatting sqref="M25:R25 M35:R35 M45:R45 M55:R55 M65:R65 M75:R75 M85:R85">
    <cfRule type="cellIs" priority="14" operator="greaterThan" aboveAverage="0" equalAverage="0" bottom="0" percent="0" rank="0" text="" dxfId="12">
      <formula>$K$25</formula>
    </cfRule>
    <cfRule type="cellIs" priority="15" operator="lessThan" aboveAverage="0" equalAverage="0" bottom="0" percent="0" rank="0" text="" dxfId="27">
      <formula>$K$25</formula>
    </cfRule>
  </conditionalFormatting>
  <conditionalFormatting sqref="M26:R26 M36:R36 M46:R46 M56:R56 M66:R66 M76:R76 M86:R86">
    <cfRule type="cellIs" priority="16" operator="greaterThan" aboveAverage="0" equalAverage="0" bottom="0" percent="0" rank="0" text="" dxfId="12">
      <formula>$K$26</formula>
    </cfRule>
    <cfRule type="cellIs" priority="17" operator="lessThan" aboveAverage="0" equalAverage="0" bottom="0" percent="0" rank="0" text="" dxfId="27">
      <formula>$K$26</formula>
    </cfRule>
  </conditionalFormatting>
  <conditionalFormatting sqref="M92:R93">
    <cfRule type="expression" priority="18" aboveAverage="0" equalAverage="0" bottom="0" percent="0" rank="0" text="" dxfId="28">
      <formula>LEN(TRIM(M92))=0</formula>
    </cfRule>
    <cfRule type="expression" priority="19" aboveAverage="0" equalAverage="0" bottom="0" percent="0" rank="0" text="" dxfId="14">
      <formula>LEN(TRIM(M92))=0</formula>
    </cfRule>
    <cfRule type="cellIs" priority="20" operator="greaterThan" aboveAverage="0" equalAverage="0" bottom="0" percent="0" rank="0" text="" dxfId="15">
      <formula>$K$26</formula>
    </cfRule>
    <cfRule type="cellIs" priority="21" operator="lessThan" aboveAverage="0" equalAverage="0" bottom="0" percent="0" rank="0" text="" dxfId="11">
      <formula>$K$26</formula>
    </cfRule>
  </conditionalFormatting>
  <conditionalFormatting sqref="M82:R83">
    <cfRule type="expression" priority="22" aboveAverage="0" equalAverage="0" bottom="0" percent="0" rank="0" text="" dxfId="28">
      <formula>LEN(TRIM(M82))=0</formula>
    </cfRule>
    <cfRule type="expression" priority="23" aboveAverage="0" equalAverage="0" bottom="0" percent="0" rank="0" text="" dxfId="14">
      <formula>LEN(TRIM(M82))=0</formula>
    </cfRule>
    <cfRule type="cellIs" priority="24" operator="greaterThan" aboveAverage="0" equalAverage="0" bottom="0" percent="0" rank="0" text="" dxfId="15">
      <formula>$K$26</formula>
    </cfRule>
    <cfRule type="cellIs" priority="25" operator="lessThan" aboveAverage="0" equalAverage="0" bottom="0" percent="0" rank="0" text="" dxfId="11">
      <formula>$K$26</formula>
    </cfRule>
  </conditionalFormatting>
  <conditionalFormatting sqref="M72:R73">
    <cfRule type="expression" priority="26" aboveAverage="0" equalAverage="0" bottom="0" percent="0" rank="0" text="" dxfId="28">
      <formula>LEN(TRIM(M72))=0</formula>
    </cfRule>
    <cfRule type="expression" priority="27" aboveAverage="0" equalAverage="0" bottom="0" percent="0" rank="0" text="" dxfId="14">
      <formula>LEN(TRIM(M72))=0</formula>
    </cfRule>
    <cfRule type="cellIs" priority="28" operator="greaterThan" aboveAverage="0" equalAverage="0" bottom="0" percent="0" rank="0" text="" dxfId="15">
      <formula>$K$26</formula>
    </cfRule>
    <cfRule type="cellIs" priority="29" operator="lessThan" aboveAverage="0" equalAverage="0" bottom="0" percent="0" rank="0" text="" dxfId="11">
      <formula>$K$26</formula>
    </cfRule>
  </conditionalFormatting>
  <conditionalFormatting sqref="M62:R63">
    <cfRule type="expression" priority="30" aboveAverage="0" equalAverage="0" bottom="0" percent="0" rank="0" text="" dxfId="28">
      <formula>LEN(TRIM(M62))=0</formula>
    </cfRule>
    <cfRule type="expression" priority="31" aboveAverage="0" equalAverage="0" bottom="0" percent="0" rank="0" text="" dxfId="14">
      <formula>LEN(TRIM(M62))=0</formula>
    </cfRule>
    <cfRule type="cellIs" priority="32" operator="greaterThan" aboveAverage="0" equalAverage="0" bottom="0" percent="0" rank="0" text="" dxfId="15">
      <formula>$K$26</formula>
    </cfRule>
    <cfRule type="cellIs" priority="33" operator="lessThan" aboveAverage="0" equalAverage="0" bottom="0" percent="0" rank="0" text="" dxfId="11">
      <formula>$K$26</formula>
    </cfRule>
  </conditionalFormatting>
  <conditionalFormatting sqref="M52:R53">
    <cfRule type="expression" priority="34" aboveAverage="0" equalAverage="0" bottom="0" percent="0" rank="0" text="" dxfId="28">
      <formula>LEN(TRIM(M52))=0</formula>
    </cfRule>
    <cfRule type="expression" priority="35" aboveAverage="0" equalAverage="0" bottom="0" percent="0" rank="0" text="" dxfId="14">
      <formula>LEN(TRIM(M52))=0</formula>
    </cfRule>
    <cfRule type="cellIs" priority="36" operator="greaterThan" aboveAverage="0" equalAverage="0" bottom="0" percent="0" rank="0" text="" dxfId="15">
      <formula>$K$26</formula>
    </cfRule>
    <cfRule type="cellIs" priority="37" operator="lessThan" aboveAverage="0" equalAverage="0" bottom="0" percent="0" rank="0" text="" dxfId="11">
      <formula>$K$26</formula>
    </cfRule>
  </conditionalFormatting>
  <conditionalFormatting sqref="M65:R71 M75:R81 M85:R91">
    <cfRule type="expression" priority="38" aboveAverage="0" equalAverage="0" bottom="0" percent="0" rank="0" text="" dxfId="14">
      <formula>LEN(TRIM(M65))=0</formula>
    </cfRule>
  </conditionalFormatting>
  <conditionalFormatting sqref="M55:R60">
    <cfRule type="expression" priority="39" aboveAverage="0" equalAverage="0" bottom="0" percent="0" rank="0" text="" dxfId="14">
      <formula>LEN(TRIM(M55))=0</formula>
    </cfRule>
  </conditionalFormatting>
  <conditionalFormatting sqref="M61:R61">
    <cfRule type="expression" priority="40" aboveAverage="0" equalAverage="0" bottom="0" percent="0" rank="0" text="" dxfId="14">
      <formula>LEN(TRIM(M61))=0</formula>
    </cfRule>
    <cfRule type="cellIs" priority="41" operator="greaterThan" aboveAverage="0" equalAverage="0" bottom="0" percent="0" rank="0" text="" dxfId="15">
      <formula>$K$26</formula>
    </cfRule>
    <cfRule type="cellIs" priority="42" operator="lessThan" aboveAverage="0" equalAverage="0" bottom="0" percent="0" rank="0" text="" dxfId="11">
      <formula>$K$26</formula>
    </cfRule>
  </conditionalFormatting>
  <conditionalFormatting sqref="M45:R50">
    <cfRule type="expression" priority="43" aboveAverage="0" equalAverage="0" bottom="0" percent="0" rank="0" text="" dxfId="14">
      <formula>LEN(TRIM(M45))=0</formula>
    </cfRule>
  </conditionalFormatting>
  <conditionalFormatting sqref="M51:R51">
    <cfRule type="expression" priority="44" aboveAverage="0" equalAverage="0" bottom="0" percent="0" rank="0" text="" dxfId="14">
      <formula>LEN(TRIM(M51))=0</formula>
    </cfRule>
    <cfRule type="cellIs" priority="45" operator="greaterThan" aboveAverage="0" equalAverage="0" bottom="0" percent="0" rank="0" text="" dxfId="15">
      <formula>$K$26</formula>
    </cfRule>
    <cfRule type="cellIs" priority="46" operator="lessThan" aboveAverage="0" equalAverage="0" bottom="0" percent="0" rank="0" text="" dxfId="11">
      <formula>$K$26</formula>
    </cfRule>
  </conditionalFormatting>
  <conditionalFormatting sqref="M35:R40">
    <cfRule type="expression" priority="47" aboveAverage="0" equalAverage="0" bottom="0" percent="0" rank="0" text="" dxfId="14">
      <formula>LEN(TRIM(M35))=0</formula>
    </cfRule>
  </conditionalFormatting>
  <conditionalFormatting sqref="M41:R41">
    <cfRule type="expression" priority="48" aboveAverage="0" equalAverage="0" bottom="0" percent="0" rank="0" text="" dxfId="14">
      <formula>LEN(TRIM(M41))=0</formula>
    </cfRule>
    <cfRule type="cellIs" priority="49" operator="greaterThan" aboveAverage="0" equalAverage="0" bottom="0" percent="0" rank="0" text="" dxfId="15">
      <formula>$K$26</formula>
    </cfRule>
    <cfRule type="cellIs" priority="50" operator="lessThan" aboveAverage="0" equalAverage="0" bottom="0" percent="0" rank="0" text="" dxfId="11">
      <formula>$K$26</formula>
    </cfRule>
  </conditionalFormatting>
  <conditionalFormatting sqref="E6">
    <cfRule type="containsText" priority="51" operator="containsText" aboveAverage="0" equalAverage="0" bottom="0" percent="0" rank="0" text="Gevaarlijk" dxfId="18">
      <formula>NOT(ISERROR(SEARCH("Gevaarlijk",E6)))</formula>
    </cfRule>
    <cfRule type="containsText" priority="52" operator="containsText" aboveAverage="0" equalAverage="0" bottom="0" percent="0" rank="0" text="Standaard" dxfId="11">
      <formula>NOT(ISERROR(SEARCH("Standaard",E6)))</formula>
    </cfRule>
    <cfRule type="containsText" priority="53" operator="containsText" aboveAverage="0" equalAverage="0" bottom="0" percent="0" rank="0" text="Gevoelig" dxfId="10">
      <formula>NOT(ISERROR(SEARCH("Gevoelig",E6)))</formula>
    </cfRule>
  </conditionalFormatting>
  <conditionalFormatting sqref="M33:R33 M43:R43 M53:R53 M63:R63 M73:R73 M83:R83 M93:R93">
    <cfRule type="cellIs" priority="54" operator="greaterThan" aboveAverage="0" equalAverage="0" bottom="0" percent="0" rank="0" text="" dxfId="15">
      <formula>$K$33</formula>
    </cfRule>
    <cfRule type="cellIs" priority="55" operator="lessThan" aboveAverage="0" equalAverage="0" bottom="0" percent="0" rank="0" text="" dxfId="11">
      <formula>$K$33</formula>
    </cfRule>
  </conditionalFormatting>
  <dataValidations count="12">
    <dataValidation allowBlank="true" errorStyle="stop" operator="between" showDropDown="false" showErrorMessage="true" showInputMessage="true" sqref="H16 E19 H21 H23 E24 H26 E29 E34 E39 E41 E44" type="list">
      <formula1>"Geen logo,Logo (zie voorblad)"</formula1>
      <formula2>0</formula2>
    </dataValidation>
    <dataValidation allowBlank="true" errorStyle="stop" operator="between" showDropDown="false" showErrorMessage="true" showInputMessage="true" sqref="H14 E17 C18 H19 E22 C23 E27 C28 E32 C33 E37 C38" type="list">
      <formula1>"Standaard,Afwijkend (zie opmerkingen)"</formula1>
      <formula2>0</formula2>
    </dataValidation>
    <dataValidation allowBlank="true" errorStyle="stop" operator="between" showDropDown="false" showErrorMessage="true" showInputMessage="true" sqref="H15 E18 H20 E23 E28 E33 E38 C42 C45" type="list">
      <formula1>"Geen EAN Code,EAN code toevoegen (zie specificaties)"</formula1>
      <formula2>0</formula2>
    </dataValidation>
    <dataValidation allowBlank="true" errorStyle="stop" operator="between" showDropDown="false" showErrorMessage="true" showInputMessage="true" sqref="C16 C21 C26" type="list">
      <formula1>"33cl Jopen LN,33cl LN,30cl BNR,75cl,Anders (zie opmerkingen)"</formula1>
      <formula2>0</formula2>
    </dataValidation>
    <dataValidation allowBlank="true" errorStyle="stop" operator="between" showDropDown="false" showErrorMessage="true" showInputMessage="true" sqref="C17 C22 C27 C32 C37" type="list">
      <formula1>"NL,Cat 1,Cat 2,Cat 3,Blanco,Anders (zie opmerkingen)"</formula1>
      <formula2>0</formula2>
    </dataValidation>
    <dataValidation allowBlank="true" errorStyle="stop" operator="between" showDropDown="false" showErrorMessage="true" showInputMessage="true" sqref="C19 C24 C29" type="list">
      <formula1>"Jopen KK,Blauw KK,Zilver KK,Zwart KK"</formula1>
      <formula2>0</formula2>
    </dataValidation>
    <dataValidation allowBlank="true" errorStyle="stop" operator="between" showDropDown="false" showErrorMessage="true" showInputMessage="true" sqref="E16:G16 E21:G21 E26:G26" type="list">
      <formula1>"Blanco 12x33cl,Jopen 12x33cl,Blanco 24x33cl,Jopen 24x33cl,Jopen 6x75cl,Anders (zie opmerkingen)"</formula1>
      <formula2>0</formula2>
    </dataValidation>
    <dataValidation allowBlank="true" errorStyle="stop" operator="between" showDropDown="false" showErrorMessage="true" showInputMessage="true" sqref="E31:G31 E36:G36" type="list">
      <formula1>"Blanco 12x33cl,Jopen 12x33cl,Blanco 24x33cl,Jopen 24x33cl,Anders (zie opmerkingen)"</formula1>
      <formula2>0</formula2>
    </dataValidation>
    <dataValidation allowBlank="true" errorStyle="stop" operator="between" showDropDown="false" showErrorMessage="true" showInputMessage="true" sqref="C41 C44" type="list">
      <formula1>"Fust 20 liter,Fust 30 liter,Fust 50 liter,Keykeg 20 liter,Keykeg 30 liter,Polykeg 20L A,Polykeg 20L S,Anders (zie opmerkingen)"</formula1>
      <formula2>0</formula2>
    </dataValidation>
    <dataValidation allowBlank="true" errorStyle="stop" operator="between" showDropDown="false" showErrorMessage="true" showInputMessage="true" sqref="C31 C36" type="list">
      <formula1>"labelled,silver bullet"</formula1>
      <formula2>0</formula2>
    </dataValidation>
    <dataValidation allowBlank="true" errorStyle="stop" operator="between" showDropDown="false" showErrorMessage="true" showInputMessage="true" sqref="C34 C39" type="list">
      <formula1>"Zilver,Zwart"</formula1>
      <formula2>0</formula2>
    </dataValidation>
    <dataValidation allowBlank="true" errorStyle="stop" operator="between" showDropDown="false" showErrorMessage="true" showInputMessage="true" sqref="U23" type="list">
      <formula1>"can 330ml,can 440ml,bottle 330ml,bottle 750m+$V$23,can 275ml"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3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I43" activeCellId="0" sqref="I43"/>
    </sheetView>
  </sheetViews>
  <sheetFormatPr defaultColWidth="8.00390625" defaultRowHeight="15" zeroHeight="true" outlineLevelRow="1" outlineLevelCol="0"/>
  <cols>
    <col collapsed="false" customWidth="true" hidden="false" outlineLevel="0" max="1" min="1" style="960" width="2.5"/>
    <col collapsed="false" customWidth="true" hidden="false" outlineLevel="0" max="2" min="2" style="961" width="26.13"/>
    <col collapsed="false" customWidth="true" hidden="false" outlineLevel="0" max="3" min="3" style="962" width="13.12"/>
    <col collapsed="false" customWidth="true" hidden="false" outlineLevel="0" max="9" min="4" style="963" width="8.12"/>
    <col collapsed="false" customWidth="true" hidden="false" outlineLevel="0" max="10" min="10" style="963" width="1.62"/>
    <col collapsed="false" customWidth="true" hidden="false" outlineLevel="0" max="11" min="11" style="963" width="9.5"/>
    <col collapsed="false" customWidth="true" hidden="false" outlineLevel="0" max="12" min="12" style="963" width="2.12"/>
    <col collapsed="false" customWidth="true" hidden="false" outlineLevel="0" max="13" min="13" style="964" width="10.12"/>
    <col collapsed="false" customWidth="true" hidden="false" outlineLevel="0" max="14" min="14" style="963" width="1.62"/>
    <col collapsed="false" customWidth="true" hidden="false" outlineLevel="0" max="15" min="15" style="964" width="22.62"/>
    <col collapsed="false" customWidth="true" hidden="false" outlineLevel="0" max="16" min="16" style="963" width="1.62"/>
    <col collapsed="false" customWidth="false" hidden="false" outlineLevel="0" max="17" min="17" style="963" width="8"/>
    <col collapsed="false" customWidth="true" hidden="false" outlineLevel="0" max="18" min="18" style="963" width="8.5"/>
    <col collapsed="false" customWidth="true" hidden="false" outlineLevel="0" max="19" min="19" style="963" width="2.5"/>
    <col collapsed="false" customWidth="false" hidden="false" outlineLevel="0" max="20" min="20" style="963" width="8"/>
    <col collapsed="false" customWidth="false" hidden="true" outlineLevel="0" max="16384" min="21" style="960" width="8"/>
  </cols>
  <sheetData>
    <row r="1" customFormat="false" ht="15.75" hidden="false" customHeight="true" outlineLevel="0" collapsed="false">
      <c r="A1" s="325"/>
      <c r="B1" s="694" t="s">
        <v>533</v>
      </c>
      <c r="C1" s="694"/>
      <c r="D1" s="694"/>
      <c r="E1" s="694"/>
      <c r="F1" s="694"/>
      <c r="G1" s="694"/>
      <c r="H1" s="694"/>
      <c r="I1" s="694"/>
      <c r="M1" s="965" t="s">
        <v>534</v>
      </c>
      <c r="N1" s="965"/>
      <c r="O1" s="965"/>
      <c r="P1" s="965"/>
      <c r="Q1" s="965"/>
      <c r="R1" s="965"/>
    </row>
    <row r="2" customFormat="false" ht="15.75" hidden="false" customHeight="true" outlineLevel="0" collapsed="false">
      <c r="A2" s="325"/>
      <c r="B2" s="694"/>
      <c r="C2" s="694"/>
      <c r="D2" s="694"/>
      <c r="E2" s="694"/>
      <c r="F2" s="694"/>
      <c r="G2" s="694"/>
      <c r="H2" s="694"/>
      <c r="I2" s="694"/>
      <c r="M2" s="966"/>
      <c r="O2" s="425"/>
      <c r="Q2" s="967"/>
      <c r="R2" s="968"/>
    </row>
    <row r="3" customFormat="false" ht="15.75" hidden="false" customHeight="true" outlineLevel="0" collapsed="false">
      <c r="A3" s="325"/>
      <c r="B3" s="879" t="s">
        <v>535</v>
      </c>
      <c r="C3" s="969" t="n">
        <f aca="false">Afvullen!C3</f>
        <v>0</v>
      </c>
      <c r="D3" s="969"/>
      <c r="E3" s="969"/>
      <c r="F3" s="892" t="s">
        <v>536</v>
      </c>
      <c r="G3" s="892"/>
      <c r="H3" s="969" t="n">
        <f aca="false">'Recept-voorblad'!K3</f>
        <v>26225</v>
      </c>
      <c r="I3" s="969"/>
      <c r="M3" s="970" t="s">
        <v>537</v>
      </c>
      <c r="O3" s="876" t="s">
        <v>538</v>
      </c>
      <c r="Q3" s="971" t="s">
        <v>539</v>
      </c>
      <c r="R3" s="971"/>
    </row>
    <row r="4" customFormat="false" ht="15.75" hidden="false" customHeight="true" outlineLevel="0" collapsed="false">
      <c r="A4" s="325"/>
      <c r="B4" s="879"/>
      <c r="C4" s="969"/>
      <c r="D4" s="969"/>
      <c r="E4" s="969"/>
      <c r="F4" s="892"/>
      <c r="G4" s="892"/>
      <c r="H4" s="969"/>
      <c r="I4" s="969"/>
      <c r="M4" s="970"/>
      <c r="O4" s="876"/>
      <c r="Q4" s="971"/>
      <c r="R4" s="971"/>
    </row>
    <row r="5" customFormat="false" ht="15" hidden="false" customHeight="true" outlineLevel="0" collapsed="false">
      <c r="A5" s="325"/>
      <c r="B5" s="972" t="s">
        <v>540</v>
      </c>
      <c r="C5" s="973"/>
      <c r="D5" s="974"/>
      <c r="E5" s="974"/>
      <c r="F5" s="974"/>
      <c r="G5" s="974"/>
      <c r="H5" s="974"/>
      <c r="I5" s="974"/>
      <c r="M5" s="970"/>
      <c r="O5" s="975" t="s">
        <v>541</v>
      </c>
      <c r="Q5" s="976" t="s">
        <v>541</v>
      </c>
      <c r="R5" s="977" t="s">
        <v>57</v>
      </c>
    </row>
    <row r="6" customFormat="false" ht="15" hidden="false" customHeight="true" outlineLevel="0" collapsed="false">
      <c r="A6" s="325"/>
      <c r="B6" s="978"/>
      <c r="C6" s="978"/>
      <c r="D6" s="889" t="s">
        <v>94</v>
      </c>
      <c r="E6" s="889" t="s">
        <v>94</v>
      </c>
      <c r="F6" s="889" t="s">
        <v>94</v>
      </c>
      <c r="G6" s="889" t="s">
        <v>94</v>
      </c>
      <c r="H6" s="889" t="s">
        <v>94</v>
      </c>
      <c r="I6" s="889" t="s">
        <v>94</v>
      </c>
      <c r="J6" s="416"/>
      <c r="K6" s="416"/>
      <c r="L6" s="416"/>
      <c r="M6" s="979" t="n">
        <f aca="false">Verwerking!D63*100</f>
        <v>0</v>
      </c>
      <c r="N6" s="426"/>
      <c r="O6" s="980" t="n">
        <f aca="false">(M9+M11+M13+Q9)</f>
        <v>0</v>
      </c>
      <c r="P6" s="426"/>
      <c r="Q6" s="981" t="n">
        <f aca="false">M6-O6</f>
        <v>0</v>
      </c>
      <c r="R6" s="982" t="e">
        <f aca="false">1-O6/M6</f>
        <v>#DIV/0!</v>
      </c>
    </row>
    <row r="7" customFormat="false" ht="15" hidden="false" customHeight="true" outlineLevel="0" collapsed="false">
      <c r="A7" s="325"/>
      <c r="B7" s="978"/>
      <c r="C7" s="978"/>
      <c r="D7" s="983"/>
      <c r="E7" s="983"/>
      <c r="F7" s="983"/>
      <c r="G7" s="983"/>
      <c r="H7" s="983"/>
      <c r="I7" s="983"/>
      <c r="J7" s="416"/>
      <c r="K7" s="416"/>
      <c r="L7" s="416"/>
      <c r="M7" s="984"/>
      <c r="N7" s="416"/>
      <c r="O7" s="985"/>
      <c r="P7" s="416"/>
      <c r="Q7" s="986"/>
      <c r="R7" s="987"/>
    </row>
    <row r="8" customFormat="false" ht="15" hidden="false" customHeight="true" outlineLevel="0" collapsed="false">
      <c r="A8" s="325"/>
      <c r="B8" s="978"/>
      <c r="C8" s="978"/>
      <c r="D8" s="988" t="s">
        <v>389</v>
      </c>
      <c r="E8" s="988" t="s">
        <v>389</v>
      </c>
      <c r="F8" s="988" t="s">
        <v>389</v>
      </c>
      <c r="G8" s="988" t="s">
        <v>389</v>
      </c>
      <c r="H8" s="988" t="s">
        <v>389</v>
      </c>
      <c r="I8" s="988" t="s">
        <v>389</v>
      </c>
      <c r="J8" s="416"/>
      <c r="K8" s="416"/>
      <c r="L8" s="416"/>
      <c r="M8" s="989" t="s">
        <v>542</v>
      </c>
      <c r="N8" s="989"/>
      <c r="O8" s="989"/>
      <c r="P8" s="416"/>
      <c r="Q8" s="990" t="s">
        <v>543</v>
      </c>
      <c r="R8" s="990"/>
    </row>
    <row r="9" customFormat="false" ht="15" hidden="false" customHeight="true" outlineLevel="0" collapsed="false">
      <c r="A9" s="325"/>
      <c r="B9" s="978"/>
      <c r="C9" s="978"/>
      <c r="D9" s="991"/>
      <c r="E9" s="991"/>
      <c r="F9" s="991"/>
      <c r="G9" s="991"/>
      <c r="H9" s="991"/>
      <c r="I9" s="991"/>
      <c r="J9" s="416"/>
      <c r="K9" s="416"/>
      <c r="L9" s="416"/>
      <c r="M9" s="992" t="n">
        <f aca="false">SUM(M17:M26)</f>
        <v>0</v>
      </c>
      <c r="N9" s="992"/>
      <c r="O9" s="992"/>
      <c r="P9" s="416"/>
      <c r="Q9" s="993" t="n">
        <f aca="false">SUM(M28:M31)</f>
        <v>0</v>
      </c>
      <c r="R9" s="993"/>
    </row>
    <row r="10" customFormat="false" ht="15" hidden="false" customHeight="true" outlineLevel="0" collapsed="false">
      <c r="A10" s="325"/>
      <c r="B10" s="978"/>
      <c r="C10" s="978"/>
      <c r="D10" s="994" t="s">
        <v>544</v>
      </c>
      <c r="E10" s="994" t="s">
        <v>544</v>
      </c>
      <c r="F10" s="994" t="s">
        <v>544</v>
      </c>
      <c r="G10" s="994" t="s">
        <v>544</v>
      </c>
      <c r="H10" s="994" t="s">
        <v>544</v>
      </c>
      <c r="I10" s="994" t="s">
        <v>544</v>
      </c>
      <c r="J10" s="416"/>
      <c r="K10" s="416"/>
      <c r="L10" s="416"/>
      <c r="M10" s="989" t="s">
        <v>545</v>
      </c>
      <c r="N10" s="989"/>
      <c r="O10" s="989"/>
      <c r="P10" s="416"/>
      <c r="Q10" s="416"/>
      <c r="R10" s="968"/>
    </row>
    <row r="11" customFormat="false" ht="15" hidden="false" customHeight="true" outlineLevel="0" collapsed="false">
      <c r="A11" s="325"/>
      <c r="B11" s="978"/>
      <c r="C11" s="978"/>
      <c r="D11" s="995"/>
      <c r="E11" s="995"/>
      <c r="F11" s="995"/>
      <c r="G11" s="995"/>
      <c r="H11" s="995"/>
      <c r="I11" s="995"/>
      <c r="J11" s="416"/>
      <c r="K11" s="416"/>
      <c r="L11" s="416"/>
      <c r="M11" s="996" t="n">
        <f aca="false">SUM(M34:M42)</f>
        <v>0</v>
      </c>
      <c r="N11" s="996"/>
      <c r="O11" s="996"/>
      <c r="P11" s="416"/>
      <c r="Q11" s="416"/>
      <c r="R11" s="968"/>
    </row>
    <row r="12" customFormat="false" ht="15" hidden="false" customHeight="true" outlineLevel="0" collapsed="false">
      <c r="A12" s="325"/>
      <c r="D12" s="416"/>
      <c r="E12" s="416"/>
      <c r="F12" s="416"/>
      <c r="G12" s="416"/>
      <c r="H12" s="416"/>
      <c r="I12" s="416"/>
      <c r="J12" s="416"/>
      <c r="K12" s="416"/>
      <c r="L12" s="416"/>
      <c r="M12" s="989" t="s">
        <v>546</v>
      </c>
      <c r="N12" s="989"/>
      <c r="O12" s="989"/>
      <c r="P12" s="416"/>
      <c r="Q12" s="416"/>
      <c r="R12" s="968"/>
    </row>
    <row r="13" s="325" customFormat="true" ht="15.75" hidden="false" customHeight="true" outlineLevel="0" collapsed="false">
      <c r="A13" s="325" t="n">
        <f aca="false">+J13-$J$13+K13/24-$K$13/24</f>
        <v>0</v>
      </c>
      <c r="B13" s="997" t="s">
        <v>547</v>
      </c>
      <c r="C13" s="892" t="s">
        <v>548</v>
      </c>
      <c r="D13" s="998"/>
      <c r="E13" s="998"/>
      <c r="F13" s="998"/>
      <c r="G13" s="998"/>
      <c r="H13" s="998"/>
      <c r="I13" s="999"/>
      <c r="J13" s="416"/>
      <c r="K13" s="416"/>
      <c r="L13" s="416"/>
      <c r="M13" s="1000" t="n">
        <f aca="false">SUM(K45:K47)</f>
        <v>0</v>
      </c>
      <c r="N13" s="1000"/>
      <c r="O13" s="1000"/>
      <c r="P13" s="1001"/>
      <c r="Q13" s="1001"/>
      <c r="R13" s="1002"/>
    </row>
    <row r="14" s="325" customFormat="true" ht="15.75" hidden="false" customHeight="true" outlineLevel="0" collapsed="false">
      <c r="B14" s="1003"/>
      <c r="C14" s="416"/>
      <c r="J14" s="416"/>
      <c r="M14" s="415"/>
      <c r="N14" s="416"/>
      <c r="O14" s="416"/>
      <c r="P14" s="416"/>
      <c r="Q14" s="416"/>
    </row>
    <row r="15" s="325" customFormat="true" ht="18.75" hidden="false" customHeight="true" outlineLevel="0" collapsed="false">
      <c r="B15" s="1003"/>
      <c r="C15" s="416"/>
      <c r="D15" s="416"/>
      <c r="E15" s="416"/>
      <c r="F15" s="416"/>
      <c r="G15" s="416"/>
      <c r="H15" s="416"/>
      <c r="I15" s="416"/>
      <c r="J15" s="416"/>
      <c r="K15" s="1004" t="s">
        <v>549</v>
      </c>
      <c r="L15" s="1004"/>
      <c r="M15" s="1004"/>
      <c r="N15" s="416"/>
      <c r="O15" s="416"/>
      <c r="P15" s="416"/>
      <c r="Q15" s="416"/>
    </row>
    <row r="16" s="325" customFormat="true" ht="15" hidden="false" customHeight="true" outlineLevel="0" collapsed="false">
      <c r="B16" s="1005" t="s">
        <v>550</v>
      </c>
      <c r="C16" s="1006" t="s">
        <v>551</v>
      </c>
      <c r="D16" s="876" t="s">
        <v>552</v>
      </c>
      <c r="E16" s="876" t="s">
        <v>552</v>
      </c>
      <c r="F16" s="876" t="s">
        <v>552</v>
      </c>
      <c r="G16" s="876" t="s">
        <v>552</v>
      </c>
      <c r="H16" s="876" t="s">
        <v>552</v>
      </c>
      <c r="I16" s="876" t="s">
        <v>552</v>
      </c>
      <c r="J16" s="973"/>
      <c r="K16" s="1007" t="s">
        <v>534</v>
      </c>
      <c r="L16" s="416"/>
      <c r="M16" s="1007" t="s">
        <v>553</v>
      </c>
      <c r="N16" s="416"/>
      <c r="O16" s="416"/>
      <c r="P16" s="416"/>
      <c r="Q16" s="416"/>
    </row>
    <row r="17" s="325" customFormat="true" ht="15" hidden="false" customHeight="true" outlineLevel="1" collapsed="false">
      <c r="B17" s="879" t="s">
        <v>554</v>
      </c>
      <c r="C17" s="1008" t="n">
        <f aca="false">Afvullen!C6</f>
        <v>0</v>
      </c>
      <c r="D17" s="1009"/>
      <c r="E17" s="1010"/>
      <c r="F17" s="1010"/>
      <c r="G17" s="1010"/>
      <c r="H17" s="1010"/>
      <c r="I17" s="1009"/>
      <c r="J17" s="416"/>
      <c r="K17" s="1011" t="n">
        <f aca="false">SUM(D17:I17)</f>
        <v>0</v>
      </c>
      <c r="L17" s="1012"/>
      <c r="M17" s="1013" t="n">
        <f aca="false">K17*0.33*24</f>
        <v>0</v>
      </c>
    </row>
    <row r="18" s="325" customFormat="true" ht="15" hidden="false" customHeight="true" outlineLevel="1" collapsed="false">
      <c r="B18" s="879" t="s">
        <v>555</v>
      </c>
      <c r="C18" s="1008" t="n">
        <f aca="false">C17</f>
        <v>0</v>
      </c>
      <c r="D18" s="1009"/>
      <c r="E18" s="1010"/>
      <c r="F18" s="1010"/>
      <c r="G18" s="1010"/>
      <c r="H18" s="1010"/>
      <c r="I18" s="1009"/>
      <c r="J18" s="416"/>
      <c r="K18" s="1011" t="n">
        <f aca="false">SUM(D18:I18)</f>
        <v>0</v>
      </c>
      <c r="L18" s="1012"/>
      <c r="M18" s="1013" t="n">
        <f aca="false">K18*0.33*24</f>
        <v>0</v>
      </c>
    </row>
    <row r="19" s="325" customFormat="true" ht="15" hidden="false" customHeight="true" outlineLevel="1" collapsed="false">
      <c r="B19" s="1014"/>
      <c r="C19" s="416"/>
      <c r="D19" s="1015"/>
      <c r="E19" s="1015"/>
      <c r="F19" s="1015"/>
      <c r="G19" s="1015"/>
      <c r="H19" s="1015"/>
      <c r="I19" s="1016"/>
      <c r="J19" s="416"/>
      <c r="K19" s="1011"/>
      <c r="L19" s="1012"/>
      <c r="M19" s="1013"/>
    </row>
    <row r="20" s="325" customFormat="true" ht="15" hidden="false" customHeight="true" outlineLevel="1" collapsed="false">
      <c r="B20" s="879" t="s">
        <v>556</v>
      </c>
      <c r="C20" s="1008" t="n">
        <f aca="false">Afvullen!C7</f>
        <v>0</v>
      </c>
      <c r="D20" s="1009"/>
      <c r="E20" s="1010"/>
      <c r="F20" s="1010"/>
      <c r="G20" s="1010"/>
      <c r="H20" s="1010"/>
      <c r="I20" s="1009"/>
      <c r="J20" s="416"/>
      <c r="K20" s="1011" t="n">
        <f aca="false">SUM(D20:I20)</f>
        <v>0</v>
      </c>
      <c r="L20" s="1012"/>
      <c r="M20" s="1013" t="n">
        <f aca="false">K20*0.33*12</f>
        <v>0</v>
      </c>
    </row>
    <row r="21" s="325" customFormat="true" ht="15" hidden="false" customHeight="true" outlineLevel="1" collapsed="false">
      <c r="B21" s="879" t="s">
        <v>557</v>
      </c>
      <c r="C21" s="1008" t="n">
        <f aca="false">C20</f>
        <v>0</v>
      </c>
      <c r="D21" s="1009"/>
      <c r="E21" s="1010"/>
      <c r="F21" s="1010"/>
      <c r="G21" s="1010"/>
      <c r="H21" s="1010"/>
      <c r="I21" s="1009"/>
      <c r="J21" s="416"/>
      <c r="K21" s="1011" t="n">
        <f aca="false">SUM(D21:I21)</f>
        <v>0</v>
      </c>
      <c r="L21" s="1012"/>
      <c r="M21" s="1013" t="n">
        <f aca="false">K21*0.33*12</f>
        <v>0</v>
      </c>
    </row>
    <row r="22" s="325" customFormat="true" ht="13.5" hidden="false" customHeight="true" outlineLevel="0" collapsed="false">
      <c r="B22" s="1014"/>
      <c r="C22" s="416"/>
      <c r="D22" s="1015"/>
      <c r="E22" s="1015"/>
      <c r="F22" s="1015"/>
      <c r="G22" s="1015"/>
      <c r="H22" s="1015"/>
      <c r="I22" s="1016"/>
      <c r="J22" s="416"/>
      <c r="K22" s="1011"/>
      <c r="L22" s="1012"/>
      <c r="M22" s="1013"/>
    </row>
    <row r="23" s="325" customFormat="true" ht="15" hidden="false" customHeight="true" outlineLevel="1" collapsed="false">
      <c r="B23" s="879" t="s">
        <v>558</v>
      </c>
      <c r="C23" s="1008"/>
      <c r="D23" s="1009"/>
      <c r="E23" s="1010"/>
      <c r="F23" s="1010"/>
      <c r="G23" s="1010"/>
      <c r="H23" s="1010"/>
      <c r="I23" s="1009"/>
      <c r="J23" s="416"/>
      <c r="K23" s="1011" t="n">
        <f aca="false">SUM(D23:I23)</f>
        <v>0</v>
      </c>
      <c r="L23" s="1012"/>
      <c r="M23" s="1013" t="n">
        <f aca="false">K23*6*0.75</f>
        <v>0</v>
      </c>
    </row>
    <row r="24" s="325" customFormat="true" ht="15" hidden="false" customHeight="true" outlineLevel="1" collapsed="false">
      <c r="B24" s="879" t="s">
        <v>559</v>
      </c>
      <c r="C24" s="1008" t="n">
        <f aca="false">C23</f>
        <v>0</v>
      </c>
      <c r="D24" s="1009"/>
      <c r="E24" s="1010"/>
      <c r="F24" s="1010"/>
      <c r="G24" s="1010"/>
      <c r="H24" s="1010"/>
      <c r="I24" s="1009"/>
      <c r="J24" s="416"/>
      <c r="K24" s="1011" t="n">
        <f aca="false">SUM(D24:I24)</f>
        <v>0</v>
      </c>
      <c r="L24" s="1012"/>
      <c r="M24" s="1013" t="n">
        <f aca="false">K24*6*0.75</f>
        <v>0</v>
      </c>
    </row>
    <row r="25" s="325" customFormat="true" ht="15" hidden="false" customHeight="true" outlineLevel="1" collapsed="false">
      <c r="B25" s="879" t="s">
        <v>560</v>
      </c>
      <c r="C25" s="1017"/>
      <c r="D25" s="1009"/>
      <c r="E25" s="1010"/>
      <c r="F25" s="1010"/>
      <c r="G25" s="1010"/>
      <c r="H25" s="1010"/>
      <c r="I25" s="1009"/>
      <c r="J25" s="416"/>
      <c r="K25" s="1011" t="n">
        <f aca="false">SUM(D25:I25)</f>
        <v>0</v>
      </c>
      <c r="L25" s="1012"/>
      <c r="M25" s="1013" t="n">
        <f aca="false">K25*12*0.75</f>
        <v>0</v>
      </c>
    </row>
    <row r="26" s="325" customFormat="true" ht="15" hidden="false" customHeight="true" outlineLevel="0" collapsed="false">
      <c r="B26" s="1014"/>
      <c r="C26" s="416"/>
      <c r="D26" s="1015"/>
      <c r="E26" s="1015"/>
      <c r="F26" s="1015"/>
      <c r="G26" s="1015"/>
      <c r="H26" s="1015"/>
      <c r="I26" s="1016"/>
      <c r="J26" s="416"/>
      <c r="K26" s="1011" t="n">
        <f aca="false">'Recept-voorblad'!$M$13</f>
        <v>0</v>
      </c>
      <c r="L26" s="973"/>
      <c r="M26" s="973"/>
    </row>
    <row r="27" s="325" customFormat="true" ht="15" hidden="false" customHeight="true" outlineLevel="1" collapsed="false">
      <c r="B27" s="1005" t="s">
        <v>561</v>
      </c>
      <c r="C27" s="1006" t="s">
        <v>233</v>
      </c>
      <c r="D27" s="876" t="s">
        <v>552</v>
      </c>
      <c r="E27" s="876" t="s">
        <v>552</v>
      </c>
      <c r="F27" s="876" t="s">
        <v>552</v>
      </c>
      <c r="G27" s="876" t="s">
        <v>552</v>
      </c>
      <c r="H27" s="876" t="s">
        <v>552</v>
      </c>
      <c r="I27" s="876" t="s">
        <v>552</v>
      </c>
      <c r="J27" s="416"/>
      <c r="K27" s="876" t="s">
        <v>534</v>
      </c>
      <c r="L27" s="416"/>
      <c r="M27" s="876" t="s">
        <v>553</v>
      </c>
    </row>
    <row r="28" s="325" customFormat="true" ht="15" hidden="false" customHeight="true" outlineLevel="1" collapsed="false">
      <c r="B28" s="1018" t="s">
        <v>562</v>
      </c>
      <c r="C28" s="1008" t="n">
        <f aca="false">Afvullen!C9</f>
        <v>0</v>
      </c>
      <c r="D28" s="1009"/>
      <c r="E28" s="1010"/>
      <c r="F28" s="1010"/>
      <c r="G28" s="1010"/>
      <c r="H28" s="1010"/>
      <c r="I28" s="1009"/>
      <c r="J28" s="416"/>
      <c r="K28" s="1011" t="n">
        <f aca="false">SUM(D28:I28)</f>
        <v>0</v>
      </c>
      <c r="L28" s="973"/>
      <c r="M28" s="1013" t="n">
        <f aca="false">K28*0.33*12</f>
        <v>0</v>
      </c>
    </row>
    <row r="29" s="325" customFormat="true" ht="15" hidden="false" customHeight="true" outlineLevel="1" collapsed="false">
      <c r="B29" s="1018" t="s">
        <v>563</v>
      </c>
      <c r="C29" s="1008" t="n">
        <f aca="false">Afvullen!C8</f>
        <v>0</v>
      </c>
      <c r="D29" s="1009"/>
      <c r="E29" s="1010"/>
      <c r="F29" s="1010"/>
      <c r="G29" s="1010"/>
      <c r="H29" s="1010"/>
      <c r="I29" s="1009"/>
      <c r="J29" s="416"/>
      <c r="K29" s="1011" t="n">
        <f aca="false">SUM(D29:I29)</f>
        <v>0</v>
      </c>
      <c r="L29" s="973"/>
      <c r="M29" s="1013" t="n">
        <f aca="false">K29*0.33*24</f>
        <v>0</v>
      </c>
    </row>
    <row r="30" s="325" customFormat="true" ht="15" hidden="false" customHeight="true" outlineLevel="1" collapsed="false">
      <c r="B30" s="1018" t="s">
        <v>564</v>
      </c>
      <c r="C30" s="1008" t="n">
        <f aca="false">Afvullen!C9</f>
        <v>0</v>
      </c>
      <c r="D30" s="1009"/>
      <c r="E30" s="1010"/>
      <c r="F30" s="1010"/>
      <c r="G30" s="1010"/>
      <c r="H30" s="1010"/>
      <c r="I30" s="1009"/>
      <c r="J30" s="416"/>
      <c r="K30" s="1011" t="n">
        <f aca="false">SUM(D30:I30)</f>
        <v>0</v>
      </c>
      <c r="L30" s="973"/>
      <c r="M30" s="1013" t="n">
        <f aca="false">K30*0.44*12</f>
        <v>0</v>
      </c>
    </row>
    <row r="31" s="325" customFormat="true" ht="15" hidden="false" customHeight="true" outlineLevel="1" collapsed="false">
      <c r="B31" s="1018" t="s">
        <v>565</v>
      </c>
      <c r="C31" s="1008" t="n">
        <f aca="false">Afvullen!C10</f>
        <v>0</v>
      </c>
      <c r="D31" s="1009"/>
      <c r="E31" s="1010"/>
      <c r="F31" s="1010"/>
      <c r="G31" s="1010"/>
      <c r="H31" s="1010"/>
      <c r="I31" s="1009"/>
      <c r="J31" s="416"/>
      <c r="K31" s="1011" t="n">
        <f aca="false">SUM(D31:I31)</f>
        <v>0</v>
      </c>
      <c r="L31" s="973"/>
      <c r="M31" s="1013" t="n">
        <f aca="false">K31*0.44*24</f>
        <v>0</v>
      </c>
    </row>
    <row r="32" s="325" customFormat="true" ht="15" hidden="false" customHeight="true" outlineLevel="1" collapsed="false"/>
    <row r="33" s="325" customFormat="true" ht="15" hidden="false" customHeight="true" outlineLevel="0" collapsed="false">
      <c r="B33" s="1005" t="s">
        <v>566</v>
      </c>
      <c r="C33" s="1006" t="s">
        <v>233</v>
      </c>
      <c r="D33" s="876" t="s">
        <v>552</v>
      </c>
      <c r="E33" s="876" t="s">
        <v>552</v>
      </c>
      <c r="F33" s="876" t="s">
        <v>552</v>
      </c>
      <c r="G33" s="876" t="s">
        <v>552</v>
      </c>
      <c r="H33" s="876" t="s">
        <v>552</v>
      </c>
      <c r="I33" s="876" t="s">
        <v>552</v>
      </c>
      <c r="J33" s="416"/>
      <c r="K33" s="876" t="s">
        <v>534</v>
      </c>
      <c r="L33" s="416"/>
      <c r="M33" s="876" t="s">
        <v>553</v>
      </c>
    </row>
    <row r="34" s="325" customFormat="true" ht="15" hidden="false" customHeight="true" outlineLevel="1" collapsed="false">
      <c r="B34" s="879" t="s">
        <v>567</v>
      </c>
      <c r="C34" s="1008"/>
      <c r="D34" s="1009"/>
      <c r="E34" s="1010"/>
      <c r="F34" s="1010"/>
      <c r="G34" s="1010"/>
      <c r="H34" s="1010"/>
      <c r="I34" s="1009"/>
      <c r="J34" s="416"/>
      <c r="K34" s="1011" t="n">
        <f aca="false">SUM(D34:I34)</f>
        <v>0</v>
      </c>
      <c r="L34" s="973"/>
      <c r="M34" s="1013" t="n">
        <f aca="false">K34*20</f>
        <v>0</v>
      </c>
    </row>
    <row r="35" s="325" customFormat="true" ht="15" hidden="false" customHeight="true" outlineLevel="1" collapsed="false">
      <c r="B35" s="879" t="s">
        <v>568</v>
      </c>
      <c r="C35" s="1008"/>
      <c r="D35" s="1009"/>
      <c r="E35" s="1010"/>
      <c r="F35" s="1010"/>
      <c r="G35" s="1010"/>
      <c r="H35" s="1010"/>
      <c r="I35" s="1009"/>
      <c r="J35" s="416"/>
      <c r="K35" s="1011" t="n">
        <f aca="false">SUM(D35:I35)</f>
        <v>0</v>
      </c>
      <c r="L35" s="973"/>
      <c r="M35" s="1013" t="n">
        <f aca="false">K35*20</f>
        <v>0</v>
      </c>
    </row>
    <row r="36" s="325" customFormat="true" ht="15" hidden="false" customHeight="true" outlineLevel="1" collapsed="false">
      <c r="B36" s="879" t="s">
        <v>569</v>
      </c>
      <c r="C36" s="1017"/>
      <c r="D36" s="1009"/>
      <c r="E36" s="1010"/>
      <c r="F36" s="1010"/>
      <c r="G36" s="1010"/>
      <c r="H36" s="1010"/>
      <c r="I36" s="1009"/>
      <c r="J36" s="416"/>
      <c r="K36" s="1011" t="n">
        <f aca="false">SUM(D36:I36)</f>
        <v>0</v>
      </c>
      <c r="L36" s="973"/>
      <c r="M36" s="1013" t="n">
        <f aca="false">K36*30</f>
        <v>0</v>
      </c>
    </row>
    <row r="37" s="325" customFormat="true" ht="15" hidden="false" customHeight="true" outlineLevel="1" collapsed="false">
      <c r="B37" s="879" t="s">
        <v>570</v>
      </c>
      <c r="C37" s="1008"/>
      <c r="D37" s="1019"/>
      <c r="E37" s="1019"/>
      <c r="F37" s="1019"/>
      <c r="G37" s="1019"/>
      <c r="H37" s="1019"/>
      <c r="I37" s="1020"/>
      <c r="J37" s="416"/>
      <c r="K37" s="1011" t="n">
        <f aca="false">SUM(D37:I37)</f>
        <v>0</v>
      </c>
      <c r="L37" s="973"/>
      <c r="M37" s="1013" t="n">
        <f aca="false">K37*50</f>
        <v>0</v>
      </c>
    </row>
    <row r="38" s="325" customFormat="true" ht="15" hidden="false" customHeight="true" outlineLevel="0" collapsed="false">
      <c r="B38" s="1021"/>
      <c r="C38" s="416"/>
      <c r="D38" s="1022"/>
      <c r="E38" s="1022"/>
      <c r="F38" s="1022"/>
      <c r="G38" s="1022"/>
      <c r="H38" s="1022"/>
      <c r="I38" s="1023"/>
      <c r="J38" s="416"/>
      <c r="K38" s="1011"/>
      <c r="L38" s="973"/>
      <c r="M38" s="1013"/>
    </row>
    <row r="39" s="325" customFormat="true" ht="15" hidden="false" customHeight="true" outlineLevel="1" collapsed="false">
      <c r="B39" s="879" t="s">
        <v>571</v>
      </c>
      <c r="C39" s="416"/>
      <c r="D39" s="1024"/>
      <c r="E39" s="1024"/>
      <c r="F39" s="1024"/>
      <c r="G39" s="1024"/>
      <c r="H39" s="1024"/>
      <c r="I39" s="1025"/>
      <c r="J39" s="416"/>
      <c r="K39" s="1011" t="n">
        <f aca="false">SUM(D39:I39)</f>
        <v>0</v>
      </c>
      <c r="L39" s="973"/>
      <c r="M39" s="1013" t="n">
        <f aca="false">K39*20</f>
        <v>0</v>
      </c>
    </row>
    <row r="40" s="325" customFormat="true" ht="15" hidden="false" customHeight="true" outlineLevel="1" collapsed="false">
      <c r="B40" s="879" t="s">
        <v>572</v>
      </c>
      <c r="C40" s="416"/>
      <c r="D40" s="1010"/>
      <c r="E40" s="1010"/>
      <c r="F40" s="1010"/>
      <c r="G40" s="1010"/>
      <c r="H40" s="1010"/>
      <c r="I40" s="1009"/>
      <c r="J40" s="416"/>
      <c r="K40" s="1011" t="n">
        <f aca="false">SUM(D40:I40)</f>
        <v>0</v>
      </c>
      <c r="L40" s="973"/>
      <c r="M40" s="1013" t="n">
        <f aca="false">K40*20</f>
        <v>0</v>
      </c>
    </row>
    <row r="41" s="325" customFormat="true" ht="15" hidden="false" customHeight="true" outlineLevel="1" collapsed="false">
      <c r="B41" s="879" t="s">
        <v>573</v>
      </c>
      <c r="C41" s="416"/>
      <c r="D41" s="1026"/>
      <c r="E41" s="1010"/>
      <c r="F41" s="1010"/>
      <c r="G41" s="1010"/>
      <c r="H41" s="1010"/>
      <c r="I41" s="1009"/>
      <c r="J41" s="416"/>
      <c r="K41" s="1011" t="n">
        <f aca="false">SUM(D41:I41)</f>
        <v>0</v>
      </c>
      <c r="L41" s="973"/>
      <c r="M41" s="1013" t="n">
        <f aca="false">K41*20</f>
        <v>0</v>
      </c>
    </row>
    <row r="42" s="325" customFormat="true" ht="15" hidden="false" customHeight="true" outlineLevel="0" collapsed="false">
      <c r="B42" s="879" t="s">
        <v>574</v>
      </c>
      <c r="C42" s="416"/>
      <c r="D42" s="1019"/>
      <c r="E42" s="1019"/>
      <c r="F42" s="1019"/>
      <c r="G42" s="1019"/>
      <c r="H42" s="1019"/>
      <c r="I42" s="1020"/>
      <c r="J42" s="416"/>
      <c r="K42" s="1011" t="n">
        <f aca="false">SUM(D42:I42)</f>
        <v>0</v>
      </c>
      <c r="L42" s="973"/>
      <c r="M42" s="1013" t="n">
        <f aca="false">K42*30</f>
        <v>0</v>
      </c>
    </row>
    <row r="43" s="325" customFormat="true" ht="15" hidden="false" customHeight="true" outlineLevel="0" collapsed="false">
      <c r="B43" s="1027"/>
      <c r="C43" s="409"/>
      <c r="D43" s="1028"/>
      <c r="E43" s="1028"/>
      <c r="F43" s="1028"/>
      <c r="G43" s="1028"/>
      <c r="H43" s="1028"/>
      <c r="I43" s="1028"/>
      <c r="J43" s="1029"/>
      <c r="K43" s="1030"/>
      <c r="L43" s="416"/>
      <c r="M43" s="416"/>
    </row>
    <row r="44" s="325" customFormat="true" ht="55.5" hidden="false" customHeight="true" outlineLevel="1" collapsed="false">
      <c r="B44" s="1031" t="s">
        <v>575</v>
      </c>
      <c r="C44" s="1006" t="s">
        <v>233</v>
      </c>
      <c r="D44" s="876" t="s">
        <v>576</v>
      </c>
      <c r="E44" s="876" t="s">
        <v>576</v>
      </c>
      <c r="F44" s="876" t="s">
        <v>576</v>
      </c>
      <c r="G44" s="876" t="s">
        <v>576</v>
      </c>
      <c r="H44" s="876" t="s">
        <v>576</v>
      </c>
      <c r="I44" s="876" t="s">
        <v>576</v>
      </c>
      <c r="J44" s="416"/>
      <c r="K44" s="876" t="s">
        <v>577</v>
      </c>
      <c r="L44" s="876"/>
      <c r="M44" s="876"/>
    </row>
    <row r="45" s="325" customFormat="true" ht="15" hidden="false" customHeight="true" outlineLevel="1" collapsed="false">
      <c r="B45" s="879" t="s">
        <v>578</v>
      </c>
      <c r="C45" s="1009"/>
      <c r="D45" s="1009"/>
      <c r="E45" s="1009"/>
      <c r="F45" s="1009"/>
      <c r="G45" s="1009"/>
      <c r="H45" s="1009"/>
      <c r="I45" s="1009"/>
      <c r="J45" s="416"/>
      <c r="K45" s="1011" t="n">
        <f aca="false">SUM(D45:I45)</f>
        <v>0</v>
      </c>
      <c r="L45" s="973"/>
      <c r="M45" s="1013" t="n">
        <f aca="false">K45</f>
        <v>0</v>
      </c>
    </row>
    <row r="46" s="325" customFormat="true" ht="15" hidden="false" customHeight="true" outlineLevel="1" collapsed="false">
      <c r="B46" s="879" t="s">
        <v>579</v>
      </c>
      <c r="C46" s="1009"/>
      <c r="D46" s="1009"/>
      <c r="E46" s="1009"/>
      <c r="F46" s="1009"/>
      <c r="G46" s="1009"/>
      <c r="H46" s="1009"/>
      <c r="I46" s="1009"/>
      <c r="J46" s="416"/>
      <c r="K46" s="1011" t="n">
        <f aca="false">SUM(D46:I46)</f>
        <v>0</v>
      </c>
      <c r="L46" s="973"/>
      <c r="M46" s="1013" t="n">
        <f aca="false">K46</f>
        <v>0</v>
      </c>
    </row>
    <row r="47" s="325" customFormat="true" ht="15" hidden="false" customHeight="true" outlineLevel="1" collapsed="false">
      <c r="B47" s="879"/>
      <c r="C47" s="1019"/>
      <c r="D47" s="1019"/>
      <c r="E47" s="1020"/>
      <c r="F47" s="1020"/>
      <c r="G47" s="1020"/>
      <c r="H47" s="1020"/>
      <c r="I47" s="1020"/>
      <c r="J47" s="416"/>
      <c r="K47" s="1011" t="n">
        <f aca="false">SUM(D47:I47)</f>
        <v>0</v>
      </c>
      <c r="L47" s="973"/>
      <c r="M47" s="973"/>
    </row>
    <row r="48" customFormat="false" ht="15" hidden="false" customHeight="true" outlineLevel="0" collapsed="false"/>
    <row r="49" s="325" customFormat="true" ht="23.25" hidden="false" customHeight="true" outlineLevel="0" collapsed="false">
      <c r="B49" s="1032" t="s">
        <v>580</v>
      </c>
      <c r="C49" s="1032"/>
      <c r="D49" s="1032"/>
      <c r="E49" s="1032"/>
      <c r="F49" s="1032"/>
      <c r="G49" s="1032"/>
      <c r="H49" s="1032"/>
      <c r="I49" s="1032"/>
      <c r="J49" s="416"/>
      <c r="K49" s="1004" t="s">
        <v>581</v>
      </c>
      <c r="L49" s="1004"/>
      <c r="M49" s="1004"/>
      <c r="N49" s="416"/>
      <c r="O49" s="416"/>
      <c r="P49" s="416"/>
      <c r="Q49" s="416"/>
    </row>
    <row r="50" s="325" customFormat="true" ht="15" hidden="false" customHeight="true" outlineLevel="0" collapsed="false">
      <c r="B50" s="1033" t="s">
        <v>582</v>
      </c>
      <c r="C50" s="1006" t="s">
        <v>233</v>
      </c>
      <c r="D50" s="54" t="s">
        <v>583</v>
      </c>
      <c r="E50" s="54" t="s">
        <v>583</v>
      </c>
      <c r="F50" s="54" t="s">
        <v>583</v>
      </c>
      <c r="G50" s="54" t="s">
        <v>583</v>
      </c>
      <c r="H50" s="54" t="s">
        <v>583</v>
      </c>
      <c r="I50" s="54" t="s">
        <v>583</v>
      </c>
      <c r="J50" s="416"/>
      <c r="K50" s="1034" t="s">
        <v>534</v>
      </c>
      <c r="L50" s="902"/>
      <c r="M50" s="1007" t="s">
        <v>584</v>
      </c>
      <c r="N50" s="416"/>
      <c r="O50" s="416"/>
      <c r="P50" s="416"/>
      <c r="Q50" s="416"/>
    </row>
    <row r="51" s="325" customFormat="true" ht="15" hidden="false" customHeight="true" outlineLevel="1" collapsed="false">
      <c r="B51" s="882" t="s">
        <v>585</v>
      </c>
      <c r="C51" s="1035"/>
      <c r="D51" s="1024"/>
      <c r="E51" s="1025"/>
      <c r="F51" s="1025"/>
      <c r="G51" s="1025"/>
      <c r="H51" s="1025"/>
      <c r="I51" s="1025"/>
      <c r="J51" s="416"/>
      <c r="K51" s="1011" t="n">
        <f aca="false">SUM(D51:I51)</f>
        <v>0</v>
      </c>
      <c r="L51" s="973"/>
      <c r="M51" s="1036" t="n">
        <f aca="false">K51-SUM(K17:K18)*24-SUM(K20:K21)*12</f>
        <v>0</v>
      </c>
      <c r="N51" s="416"/>
      <c r="O51" s="416"/>
      <c r="P51" s="416"/>
      <c r="Q51" s="416"/>
    </row>
    <row r="52" s="325" customFormat="true" ht="15" hidden="false" customHeight="true" outlineLevel="0" collapsed="false">
      <c r="B52" s="1037"/>
      <c r="C52" s="1022"/>
      <c r="D52" s="1022"/>
      <c r="E52" s="1022"/>
      <c r="F52" s="1022"/>
      <c r="G52" s="1022"/>
      <c r="H52" s="1022"/>
      <c r="I52" s="1022"/>
      <c r="J52" s="416"/>
      <c r="K52" s="1011"/>
      <c r="L52" s="973"/>
      <c r="M52" s="1036"/>
      <c r="N52" s="416"/>
      <c r="O52" s="416"/>
      <c r="P52" s="416"/>
      <c r="Q52" s="416"/>
    </row>
    <row r="53" s="325" customFormat="true" ht="15" hidden="false" customHeight="true" outlineLevel="1" collapsed="false">
      <c r="B53" s="882" t="s">
        <v>586</v>
      </c>
      <c r="C53" s="1038"/>
      <c r="D53" s="1024"/>
      <c r="E53" s="1025"/>
      <c r="F53" s="1025"/>
      <c r="G53" s="1025"/>
      <c r="H53" s="1025"/>
      <c r="I53" s="1025"/>
      <c r="J53" s="416"/>
      <c r="K53" s="1011" t="n">
        <f aca="false">SUM(D53:I53)</f>
        <v>0</v>
      </c>
      <c r="L53" s="973"/>
      <c r="M53" s="1036" t="n">
        <f aca="false">K53-$K$17*24-$K$20*12</f>
        <v>0</v>
      </c>
      <c r="N53" s="416"/>
      <c r="O53" s="416"/>
      <c r="P53" s="416"/>
      <c r="Q53" s="416"/>
    </row>
    <row r="54" s="325" customFormat="true" ht="15" hidden="false" customHeight="true" outlineLevel="1" collapsed="false">
      <c r="B54" s="882" t="s">
        <v>587</v>
      </c>
      <c r="C54" s="1020"/>
      <c r="D54" s="1019"/>
      <c r="E54" s="1020"/>
      <c r="F54" s="1020"/>
      <c r="G54" s="1020"/>
      <c r="H54" s="1020"/>
      <c r="I54" s="1020"/>
      <c r="J54" s="416"/>
      <c r="K54" s="1011" t="n">
        <f aca="false">SUM(D54:I54)</f>
        <v>0</v>
      </c>
      <c r="L54" s="973"/>
      <c r="M54" s="1036" t="n">
        <f aca="false">K54-$K$17*24-$K$20*12</f>
        <v>0</v>
      </c>
      <c r="N54" s="416"/>
      <c r="O54" s="416"/>
      <c r="P54" s="416"/>
      <c r="Q54" s="416"/>
    </row>
    <row r="55" s="325" customFormat="true" ht="15" hidden="false" customHeight="true" outlineLevel="0" collapsed="false">
      <c r="B55" s="21"/>
      <c r="C55" s="1029"/>
      <c r="D55" s="416"/>
      <c r="E55" s="416"/>
      <c r="F55" s="416"/>
      <c r="G55" s="416"/>
      <c r="H55" s="416"/>
      <c r="I55" s="416"/>
      <c r="J55" s="416"/>
      <c r="K55" s="1011"/>
      <c r="L55" s="973"/>
      <c r="M55" s="1036"/>
      <c r="N55" s="416"/>
      <c r="O55" s="416"/>
      <c r="P55" s="416"/>
      <c r="Q55" s="416"/>
    </row>
    <row r="56" s="325" customFormat="true" ht="15" hidden="false" customHeight="true" outlineLevel="1" collapsed="false">
      <c r="B56" s="882" t="s">
        <v>588</v>
      </c>
      <c r="C56" s="1038"/>
      <c r="D56" s="1024"/>
      <c r="E56" s="1025"/>
      <c r="F56" s="1025"/>
      <c r="G56" s="1025"/>
      <c r="H56" s="1025"/>
      <c r="I56" s="1025"/>
      <c r="J56" s="416"/>
      <c r="K56" s="1011" t="n">
        <f aca="false">SUM(D56:I56)</f>
        <v>0</v>
      </c>
      <c r="L56" s="973"/>
      <c r="M56" s="1011" t="n">
        <f aca="false">K56-K17</f>
        <v>0</v>
      </c>
      <c r="N56" s="416"/>
      <c r="O56" s="416"/>
      <c r="P56" s="416"/>
      <c r="Q56" s="416"/>
    </row>
    <row r="57" s="325" customFormat="true" ht="15" hidden="false" customHeight="true" outlineLevel="1" collapsed="false">
      <c r="B57" s="882" t="s">
        <v>589</v>
      </c>
      <c r="C57" s="1039"/>
      <c r="D57" s="1019"/>
      <c r="E57" s="1020"/>
      <c r="F57" s="1020"/>
      <c r="G57" s="1020"/>
      <c r="H57" s="1020"/>
      <c r="I57" s="1020"/>
      <c r="J57" s="416"/>
      <c r="K57" s="1011" t="n">
        <f aca="false">SUM(D57:I57)</f>
        <v>0</v>
      </c>
      <c r="L57" s="973"/>
      <c r="M57" s="1011" t="n">
        <f aca="false">K57-K18</f>
        <v>0</v>
      </c>
      <c r="N57" s="416"/>
      <c r="O57" s="416"/>
      <c r="P57" s="416"/>
      <c r="Q57" s="416"/>
    </row>
    <row r="58" s="325" customFormat="true" ht="15" hidden="false" customHeight="true" outlineLevel="1" collapsed="false">
      <c r="B58" s="21"/>
      <c r="C58" s="416"/>
      <c r="D58" s="416"/>
      <c r="E58" s="416"/>
      <c r="F58" s="416"/>
      <c r="G58" s="416"/>
      <c r="H58" s="416"/>
      <c r="I58" s="416"/>
      <c r="J58" s="416"/>
      <c r="K58" s="1011"/>
      <c r="L58" s="973"/>
      <c r="M58" s="1036"/>
      <c r="N58" s="416"/>
      <c r="O58" s="416"/>
      <c r="P58" s="416"/>
      <c r="Q58" s="416"/>
    </row>
    <row r="59" s="325" customFormat="true" ht="15" hidden="false" customHeight="true" outlineLevel="1" collapsed="false">
      <c r="B59" s="882" t="s">
        <v>590</v>
      </c>
      <c r="C59" s="1038"/>
      <c r="D59" s="1024"/>
      <c r="E59" s="1025"/>
      <c r="F59" s="1025"/>
      <c r="G59" s="1025"/>
      <c r="H59" s="1025"/>
      <c r="I59" s="1025"/>
      <c r="J59" s="416"/>
      <c r="K59" s="1011" t="n">
        <f aca="false">SUM(D59:I59)</f>
        <v>0</v>
      </c>
      <c r="L59" s="973"/>
      <c r="M59" s="1011" t="n">
        <f aca="false">K59-K20</f>
        <v>0</v>
      </c>
      <c r="N59" s="416"/>
      <c r="O59" s="416"/>
      <c r="P59" s="416"/>
      <c r="Q59" s="416"/>
    </row>
    <row r="60" s="325" customFormat="true" ht="15" hidden="false" customHeight="true" outlineLevel="1" collapsed="false">
      <c r="B60" s="882" t="s">
        <v>591</v>
      </c>
      <c r="C60" s="1039"/>
      <c r="D60" s="1019"/>
      <c r="E60" s="1020"/>
      <c r="F60" s="1020"/>
      <c r="G60" s="1020"/>
      <c r="H60" s="1020"/>
      <c r="I60" s="1020"/>
      <c r="J60" s="416"/>
      <c r="K60" s="1011" t="n">
        <f aca="false">SUM(D60:I60)</f>
        <v>0</v>
      </c>
      <c r="L60" s="973"/>
      <c r="M60" s="1011" t="n">
        <f aca="false">K60-K21</f>
        <v>0</v>
      </c>
      <c r="N60" s="416"/>
      <c r="O60" s="416"/>
      <c r="P60" s="416"/>
      <c r="Q60" s="416"/>
    </row>
    <row r="61" s="325" customFormat="true" ht="15" hidden="false" customHeight="true" outlineLevel="1" collapsed="false">
      <c r="B61" s="21"/>
      <c r="C61" s="1029"/>
      <c r="D61" s="416"/>
      <c r="E61" s="416"/>
      <c r="F61" s="416"/>
      <c r="G61" s="416"/>
      <c r="H61" s="416"/>
      <c r="I61" s="416"/>
      <c r="J61" s="416"/>
      <c r="K61" s="1011"/>
      <c r="L61" s="973"/>
      <c r="M61" s="1036"/>
      <c r="N61" s="416"/>
      <c r="O61" s="416"/>
      <c r="P61" s="416"/>
      <c r="Q61" s="416"/>
    </row>
    <row r="62" s="325" customFormat="true" ht="15" hidden="false" customHeight="true" outlineLevel="1" collapsed="false">
      <c r="B62" s="882" t="s">
        <v>410</v>
      </c>
      <c r="C62" s="1040"/>
      <c r="D62" s="998"/>
      <c r="E62" s="999"/>
      <c r="F62" s="999"/>
      <c r="G62" s="999"/>
      <c r="H62" s="999"/>
      <c r="I62" s="999"/>
      <c r="J62" s="416"/>
      <c r="K62" s="1011" t="n">
        <f aca="false">SUM(D62:I62)</f>
        <v>0</v>
      </c>
      <c r="L62" s="973"/>
      <c r="M62" s="1011" t="n">
        <f aca="false">C62-SUM(K17:K18)*24-SUM(K20:K21)*12</f>
        <v>0</v>
      </c>
      <c r="N62" s="416"/>
      <c r="O62" s="416" t="s">
        <v>592</v>
      </c>
      <c r="P62" s="416"/>
      <c r="Q62" s="998" t="n">
        <v>10000</v>
      </c>
      <c r="R62" s="985" t="n">
        <f aca="false">K62/Q62</f>
        <v>0</v>
      </c>
    </row>
    <row r="63" s="325" customFormat="true" ht="15" hidden="false" customHeight="true" outlineLevel="0" collapsed="false">
      <c r="B63" s="21"/>
      <c r="C63" s="416"/>
      <c r="D63" s="416"/>
      <c r="E63" s="416"/>
      <c r="F63" s="416"/>
      <c r="G63" s="416"/>
      <c r="H63" s="416"/>
      <c r="I63" s="416"/>
      <c r="J63" s="416"/>
      <c r="K63" s="1011"/>
      <c r="L63" s="973"/>
      <c r="M63" s="1036"/>
      <c r="N63" s="416"/>
      <c r="O63" s="1041" t="s">
        <v>593</v>
      </c>
      <c r="P63" s="1041"/>
      <c r="Q63" s="1041"/>
      <c r="R63" s="1041"/>
    </row>
    <row r="64" s="325" customFormat="true" ht="15" hidden="false" customHeight="true" outlineLevel="1" collapsed="false">
      <c r="B64" s="882" t="s">
        <v>594</v>
      </c>
      <c r="C64" s="1038"/>
      <c r="D64" s="1024"/>
      <c r="E64" s="1025"/>
      <c r="F64" s="1025"/>
      <c r="G64" s="1025"/>
      <c r="H64" s="1025"/>
      <c r="I64" s="1025"/>
      <c r="J64" s="416"/>
      <c r="K64" s="1011" t="n">
        <f aca="false">SUM(D64:I64)</f>
        <v>0</v>
      </c>
      <c r="L64" s="973"/>
      <c r="M64" s="1036" t="n">
        <f aca="false">K64-SUM(K23:K24)*6-K25*12</f>
        <v>0</v>
      </c>
      <c r="N64" s="416"/>
      <c r="O64" s="416"/>
      <c r="P64" s="416"/>
      <c r="Q64" s="416"/>
    </row>
    <row r="65" s="325" customFormat="true" ht="15" hidden="false" customHeight="true" outlineLevel="1" collapsed="false">
      <c r="B65" s="882" t="s">
        <v>595</v>
      </c>
      <c r="C65" s="1042"/>
      <c r="D65" s="1010"/>
      <c r="E65" s="1009"/>
      <c r="F65" s="1009"/>
      <c r="G65" s="1009"/>
      <c r="H65" s="1009"/>
      <c r="I65" s="1009"/>
      <c r="J65" s="416"/>
      <c r="K65" s="1011" t="n">
        <f aca="false">SUM(D65:I65)</f>
        <v>0</v>
      </c>
      <c r="L65" s="973"/>
      <c r="M65" s="1036" t="n">
        <f aca="false">K65-K23*6</f>
        <v>0</v>
      </c>
      <c r="N65" s="416"/>
      <c r="O65" s="416"/>
      <c r="P65" s="416"/>
      <c r="Q65" s="416"/>
    </row>
    <row r="66" s="325" customFormat="true" ht="15" hidden="false" customHeight="true" outlineLevel="1" collapsed="false">
      <c r="B66" s="882" t="s">
        <v>596</v>
      </c>
      <c r="C66" s="1042"/>
      <c r="D66" s="1026"/>
      <c r="E66" s="1043"/>
      <c r="F66" s="1043"/>
      <c r="G66" s="1043"/>
      <c r="H66" s="1043"/>
      <c r="I66" s="1043"/>
      <c r="J66" s="416"/>
      <c r="K66" s="1011" t="n">
        <f aca="false">SUM(D66:I66)</f>
        <v>0</v>
      </c>
      <c r="L66" s="973"/>
      <c r="M66" s="1036" t="n">
        <f aca="false">K66-K23*6</f>
        <v>0</v>
      </c>
      <c r="N66" s="416"/>
      <c r="O66" s="416"/>
      <c r="P66" s="416"/>
      <c r="Q66" s="416"/>
    </row>
    <row r="67" s="325" customFormat="true" ht="15" hidden="false" customHeight="true" outlineLevel="1" collapsed="false">
      <c r="B67" s="1044"/>
      <c r="C67" s="1045"/>
      <c r="D67" s="1046"/>
      <c r="E67" s="1046"/>
      <c r="F67" s="1046"/>
      <c r="G67" s="1046"/>
      <c r="H67" s="1046"/>
      <c r="I67" s="1046"/>
      <c r="J67" s="416"/>
      <c r="K67" s="1011"/>
      <c r="L67" s="973"/>
      <c r="M67" s="1036"/>
      <c r="N67" s="416"/>
      <c r="O67" s="416"/>
      <c r="P67" s="416"/>
      <c r="Q67" s="416"/>
    </row>
    <row r="68" s="325" customFormat="true" ht="15" hidden="false" customHeight="true" outlineLevel="1" collapsed="false">
      <c r="B68" s="882" t="s">
        <v>597</v>
      </c>
      <c r="C68" s="1038"/>
      <c r="D68" s="1024"/>
      <c r="E68" s="1025"/>
      <c r="F68" s="1025"/>
      <c r="G68" s="1025"/>
      <c r="H68" s="1025"/>
      <c r="I68" s="1025"/>
      <c r="J68" s="416"/>
      <c r="K68" s="1011" t="n">
        <f aca="false">SUM(D68:I68)</f>
        <v>0</v>
      </c>
      <c r="L68" s="973"/>
      <c r="M68" s="1011" t="n">
        <f aca="false">K68-K23</f>
        <v>0</v>
      </c>
      <c r="N68" s="416"/>
      <c r="O68" s="416"/>
      <c r="P68" s="416"/>
      <c r="Q68" s="416"/>
    </row>
    <row r="69" s="325" customFormat="true" ht="15" hidden="false" customHeight="true" outlineLevel="1" collapsed="false">
      <c r="B69" s="882" t="s">
        <v>598</v>
      </c>
      <c r="C69" s="1047"/>
      <c r="D69" s="1019"/>
      <c r="E69" s="1020"/>
      <c r="F69" s="1020"/>
      <c r="G69" s="1020"/>
      <c r="H69" s="1020"/>
      <c r="I69" s="1020"/>
      <c r="J69" s="416"/>
      <c r="K69" s="1011" t="n">
        <f aca="false">SUM(D69:I69)</f>
        <v>0</v>
      </c>
      <c r="L69" s="973"/>
      <c r="M69" s="1011" t="n">
        <f aca="false">K69-K24</f>
        <v>0</v>
      </c>
      <c r="N69" s="416"/>
      <c r="O69" s="416"/>
      <c r="P69" s="416"/>
      <c r="Q69" s="416"/>
    </row>
    <row r="70" s="325" customFormat="true" ht="15" hidden="false" customHeight="true" outlineLevel="1" collapsed="false">
      <c r="B70" s="21"/>
      <c r="C70" s="1029"/>
      <c r="D70" s="416"/>
      <c r="E70" s="416"/>
      <c r="F70" s="416"/>
      <c r="G70" s="416"/>
      <c r="H70" s="416"/>
      <c r="I70" s="416"/>
      <c r="J70" s="416"/>
      <c r="K70" s="1011"/>
      <c r="L70" s="973"/>
      <c r="M70" s="1011"/>
      <c r="N70" s="416"/>
      <c r="O70" s="416"/>
      <c r="P70" s="416"/>
      <c r="Q70" s="416"/>
    </row>
    <row r="71" s="325" customFormat="true" ht="15" hidden="false" customHeight="true" outlineLevel="1" collapsed="false">
      <c r="B71" s="882" t="s">
        <v>599</v>
      </c>
      <c r="C71" s="1038"/>
      <c r="D71" s="1024"/>
      <c r="E71" s="1025"/>
      <c r="F71" s="1025"/>
      <c r="G71" s="1025"/>
      <c r="H71" s="1025"/>
      <c r="I71" s="1025"/>
      <c r="J71" s="416"/>
      <c r="K71" s="1011" t="n">
        <f aca="false">SUM(D71:I71)</f>
        <v>0</v>
      </c>
      <c r="L71" s="973"/>
      <c r="M71" s="1011" t="n">
        <f aca="false">K71-SUM(K23:K24)*6-K25*12</f>
        <v>0</v>
      </c>
      <c r="N71" s="416"/>
      <c r="O71" s="416" t="s">
        <v>592</v>
      </c>
      <c r="P71" s="416"/>
      <c r="Q71" s="1048" t="n">
        <v>2500</v>
      </c>
      <c r="R71" s="985" t="n">
        <f aca="false">K71/Q71</f>
        <v>0</v>
      </c>
    </row>
    <row r="72" s="325" customFormat="true" ht="15" hidden="false" customHeight="true" outlineLevel="1" collapsed="false">
      <c r="B72" s="882" t="s">
        <v>600</v>
      </c>
      <c r="C72" s="1047"/>
      <c r="D72" s="1019"/>
      <c r="E72" s="1020"/>
      <c r="F72" s="1020"/>
      <c r="G72" s="1020"/>
      <c r="H72" s="1020"/>
      <c r="I72" s="1020"/>
      <c r="J72" s="1029"/>
      <c r="K72" s="1011" t="n">
        <f aca="false">SUM(D72:I72)</f>
        <v>0</v>
      </c>
      <c r="L72" s="973"/>
      <c r="M72" s="1011" t="n">
        <f aca="false">K72-SUM(K23:K24)*6--K25*12</f>
        <v>0</v>
      </c>
      <c r="N72" s="416"/>
      <c r="O72" s="416" t="s">
        <v>592</v>
      </c>
      <c r="P72" s="416"/>
      <c r="Q72" s="1048" t="n">
        <v>2700</v>
      </c>
      <c r="R72" s="985" t="n">
        <f aca="false">K72/Q72</f>
        <v>0</v>
      </c>
    </row>
    <row r="73" s="325" customFormat="true" ht="15" hidden="false" customHeight="true" outlineLevel="0" collapsed="false">
      <c r="B73" s="21"/>
      <c r="C73" s="1029"/>
      <c r="D73" s="416"/>
      <c r="E73" s="416"/>
      <c r="F73" s="416"/>
      <c r="G73" s="416"/>
      <c r="H73" s="416"/>
      <c r="I73" s="416"/>
      <c r="J73" s="416"/>
      <c r="K73" s="1049"/>
      <c r="L73" s="973"/>
      <c r="M73" s="1036"/>
      <c r="N73" s="416"/>
      <c r="O73" s="1041" t="str">
        <f aca="false">O63</f>
        <v>Inhoud doos kan variëren!</v>
      </c>
      <c r="P73" s="1041"/>
      <c r="Q73" s="1041"/>
      <c r="R73" s="1041"/>
    </row>
    <row r="74" s="325" customFormat="true" ht="15" hidden="false" customHeight="true" outlineLevel="1" collapsed="false">
      <c r="B74" s="1031" t="s">
        <v>601</v>
      </c>
      <c r="C74" s="1006" t="s">
        <v>233</v>
      </c>
      <c r="D74" s="876" t="s">
        <v>583</v>
      </c>
      <c r="E74" s="876" t="s">
        <v>583</v>
      </c>
      <c r="F74" s="876" t="s">
        <v>583</v>
      </c>
      <c r="G74" s="876" t="s">
        <v>583</v>
      </c>
      <c r="H74" s="876" t="s">
        <v>583</v>
      </c>
      <c r="I74" s="876" t="s">
        <v>583</v>
      </c>
      <c r="J74" s="973"/>
      <c r="K74" s="876" t="s">
        <v>534</v>
      </c>
      <c r="L74" s="1050"/>
      <c r="M74" s="876" t="s">
        <v>584</v>
      </c>
      <c r="N74" s="416"/>
      <c r="O74" s="1051"/>
      <c r="P74" s="1051"/>
      <c r="Q74" s="1051"/>
      <c r="R74" s="1051"/>
    </row>
    <row r="75" s="325" customFormat="true" ht="15" hidden="false" customHeight="true" outlineLevel="1" collapsed="false">
      <c r="B75" s="1052" t="s">
        <v>602</v>
      </c>
      <c r="C75" s="1035"/>
      <c r="D75" s="1053"/>
      <c r="E75" s="1054"/>
      <c r="F75" s="1054"/>
      <c r="G75" s="1054"/>
      <c r="H75" s="1054"/>
      <c r="I75" s="1054"/>
      <c r="J75" s="416"/>
      <c r="K75" s="1011" t="n">
        <f aca="false">SUM(D75:I75)</f>
        <v>0</v>
      </c>
      <c r="L75" s="973"/>
      <c r="M75" s="1036" t="n">
        <f aca="false">K75-(K28*12)</f>
        <v>0</v>
      </c>
      <c r="N75" s="416"/>
      <c r="O75" s="1051"/>
      <c r="P75" s="1051"/>
      <c r="Q75" s="1051"/>
      <c r="R75" s="1051"/>
    </row>
    <row r="76" s="325" customFormat="true" ht="15" hidden="false" customHeight="true" outlineLevel="1" collapsed="false">
      <c r="B76" s="1052" t="s">
        <v>603</v>
      </c>
      <c r="C76" s="1055"/>
      <c r="D76" s="1056"/>
      <c r="E76" s="1057"/>
      <c r="F76" s="1057"/>
      <c r="G76" s="1057"/>
      <c r="H76" s="1057"/>
      <c r="I76" s="1057"/>
      <c r="J76" s="416"/>
      <c r="K76" s="1011"/>
      <c r="L76" s="973"/>
      <c r="M76" s="1036" t="n">
        <f aca="false">K76-(K29*12)</f>
        <v>0</v>
      </c>
      <c r="N76" s="416"/>
      <c r="O76" s="1051"/>
      <c r="P76" s="1051"/>
      <c r="Q76" s="1051"/>
      <c r="R76" s="1051"/>
    </row>
    <row r="77" s="325" customFormat="true" ht="15" hidden="false" customHeight="true" outlineLevel="1" collapsed="false">
      <c r="B77" s="1052" t="s">
        <v>604</v>
      </c>
      <c r="C77" s="511"/>
      <c r="D77" s="1026"/>
      <c r="E77" s="1043"/>
      <c r="F77" s="1043"/>
      <c r="G77" s="1043"/>
      <c r="H77" s="1043"/>
      <c r="I77" s="1043"/>
      <c r="J77" s="416"/>
      <c r="K77" s="1011" t="n">
        <f aca="false">SUM(D77:I77)</f>
        <v>0</v>
      </c>
      <c r="L77" s="973"/>
      <c r="M77" s="1036" t="n">
        <f aca="false">K77-(K28*12)</f>
        <v>0</v>
      </c>
      <c r="N77" s="416"/>
      <c r="O77" s="1051"/>
      <c r="P77" s="1051"/>
      <c r="Q77" s="1051"/>
      <c r="R77" s="1051"/>
    </row>
    <row r="78" s="325" customFormat="true" ht="15" hidden="false" customHeight="true" outlineLevel="1" collapsed="false">
      <c r="B78" s="1052" t="s">
        <v>605</v>
      </c>
      <c r="C78" s="511"/>
      <c r="D78" s="1026"/>
      <c r="E78" s="1043"/>
      <c r="F78" s="1043"/>
      <c r="G78" s="1043"/>
      <c r="H78" s="1043"/>
      <c r="I78" s="1043"/>
      <c r="J78" s="416"/>
      <c r="K78" s="1011" t="n">
        <f aca="false">SUM(D78:I78)</f>
        <v>0</v>
      </c>
      <c r="L78" s="973"/>
      <c r="M78" s="1036" t="n">
        <f aca="false">K78-(K28*12)</f>
        <v>0</v>
      </c>
      <c r="N78" s="416"/>
      <c r="O78" s="1051"/>
      <c r="P78" s="1051"/>
      <c r="Q78" s="1051"/>
      <c r="R78" s="1051"/>
    </row>
    <row r="79" s="325" customFormat="true" ht="15" hidden="false" customHeight="true" outlineLevel="1" collapsed="false">
      <c r="B79" s="1052" t="s">
        <v>606</v>
      </c>
      <c r="C79" s="511"/>
      <c r="D79" s="1026"/>
      <c r="E79" s="1043"/>
      <c r="F79" s="1043"/>
      <c r="G79" s="1043"/>
      <c r="H79" s="1043"/>
      <c r="I79" s="1043"/>
      <c r="J79" s="416"/>
      <c r="K79" s="1011"/>
      <c r="L79" s="973"/>
      <c r="M79" s="1036" t="n">
        <f aca="false">K79-(K29*12)</f>
        <v>0</v>
      </c>
      <c r="N79" s="416"/>
      <c r="O79" s="1051"/>
      <c r="P79" s="1051"/>
      <c r="Q79" s="1051"/>
      <c r="R79" s="1051"/>
    </row>
    <row r="80" s="325" customFormat="true" ht="15" hidden="false" customHeight="true" outlineLevel="1" collapsed="false">
      <c r="B80" s="1052" t="s">
        <v>607</v>
      </c>
      <c r="C80" s="511"/>
      <c r="D80" s="1026"/>
      <c r="E80" s="1043"/>
      <c r="F80" s="1043"/>
      <c r="G80" s="1043"/>
      <c r="H80" s="1043"/>
      <c r="I80" s="1043"/>
      <c r="J80" s="416"/>
      <c r="K80" s="1011" t="n">
        <f aca="false">SUM(D80:I80)</f>
        <v>0</v>
      </c>
      <c r="L80" s="973"/>
      <c r="M80" s="1011" t="n">
        <f aca="false">K80-K28</f>
        <v>0</v>
      </c>
      <c r="N80" s="416"/>
      <c r="O80" s="1051"/>
      <c r="P80" s="1051"/>
      <c r="Q80" s="1051"/>
      <c r="R80" s="1051"/>
    </row>
    <row r="81" s="325" customFormat="true" ht="15" hidden="false" customHeight="true" outlineLevel="1" collapsed="false">
      <c r="B81" s="1052" t="s">
        <v>608</v>
      </c>
      <c r="C81" s="511"/>
      <c r="D81" s="1026"/>
      <c r="E81" s="1043"/>
      <c r="F81" s="1043"/>
      <c r="G81" s="1043"/>
      <c r="H81" s="1043"/>
      <c r="I81" s="1043"/>
      <c r="J81" s="416"/>
      <c r="K81" s="1011"/>
      <c r="L81" s="973"/>
      <c r="M81" s="1011" t="n">
        <f aca="false">K81-K29</f>
        <v>0</v>
      </c>
    </row>
    <row r="82" s="325" customFormat="true" ht="15" hidden="false" customHeight="true" outlineLevel="1" collapsed="false">
      <c r="B82" s="1052" t="s">
        <v>609</v>
      </c>
      <c r="C82" s="511"/>
      <c r="D82" s="1026"/>
      <c r="E82" s="1043"/>
      <c r="F82" s="1043"/>
      <c r="G82" s="1043"/>
      <c r="H82" s="1043"/>
      <c r="I82" s="1043"/>
      <c r="J82" s="416"/>
      <c r="K82" s="1011"/>
      <c r="L82" s="973"/>
      <c r="M82" s="1011" t="n">
        <f aca="false">K82-K30</f>
        <v>0</v>
      </c>
    </row>
    <row r="83" s="325" customFormat="true" ht="15" hidden="false" customHeight="true" outlineLevel="1" collapsed="false">
      <c r="B83" s="1052" t="s">
        <v>610</v>
      </c>
      <c r="C83" s="511"/>
      <c r="D83" s="1026"/>
      <c r="E83" s="1043"/>
      <c r="F83" s="1043"/>
      <c r="G83" s="1043"/>
      <c r="H83" s="1043"/>
      <c r="I83" s="1043"/>
      <c r="J83" s="416"/>
      <c r="K83" s="1011"/>
      <c r="L83" s="973"/>
      <c r="M83" s="1011" t="n">
        <f aca="false">K83-K31</f>
        <v>0</v>
      </c>
    </row>
    <row r="84" s="325" customFormat="true" ht="15" hidden="false" customHeight="true" outlineLevel="1" collapsed="false">
      <c r="B84" s="21"/>
      <c r="C84" s="1029"/>
      <c r="D84" s="416"/>
      <c r="E84" s="416"/>
      <c r="F84" s="416"/>
      <c r="G84" s="416"/>
      <c r="H84" s="416"/>
      <c r="I84" s="416"/>
      <c r="J84" s="416"/>
      <c r="K84" s="1049"/>
      <c r="L84" s="973"/>
      <c r="M84" s="1036"/>
    </row>
    <row r="85" s="325" customFormat="true" ht="15" hidden="false" customHeight="true" outlineLevel="0" collapsed="false">
      <c r="B85" s="1031" t="s">
        <v>611</v>
      </c>
      <c r="C85" s="1006" t="s">
        <v>233</v>
      </c>
      <c r="D85" s="876" t="s">
        <v>583</v>
      </c>
      <c r="E85" s="876" t="s">
        <v>583</v>
      </c>
      <c r="F85" s="876" t="s">
        <v>583</v>
      </c>
      <c r="G85" s="876" t="s">
        <v>583</v>
      </c>
      <c r="H85" s="876" t="s">
        <v>583</v>
      </c>
      <c r="I85" s="876" t="s">
        <v>583</v>
      </c>
      <c r="J85" s="973"/>
      <c r="K85" s="876" t="s">
        <v>534</v>
      </c>
      <c r="L85" s="1050"/>
      <c r="M85" s="876" t="s">
        <v>584</v>
      </c>
    </row>
    <row r="86" s="325" customFormat="true" ht="15" hidden="false" customHeight="true" outlineLevel="1" collapsed="false">
      <c r="B86" s="882" t="s">
        <v>612</v>
      </c>
      <c r="C86" s="1035"/>
      <c r="D86" s="1053"/>
      <c r="E86" s="1054"/>
      <c r="F86" s="1054"/>
      <c r="G86" s="1054"/>
      <c r="H86" s="1054"/>
      <c r="I86" s="1054"/>
      <c r="J86" s="416"/>
      <c r="K86" s="1011" t="n">
        <f aca="false">SUM(D86:I86)</f>
        <v>0</v>
      </c>
      <c r="L86" s="973"/>
      <c r="M86" s="1011" t="n">
        <f aca="false">K86-K34</f>
        <v>0</v>
      </c>
    </row>
    <row r="87" s="325" customFormat="true" ht="15" hidden="false" customHeight="true" outlineLevel="1" collapsed="false">
      <c r="B87" s="882" t="s">
        <v>613</v>
      </c>
      <c r="C87" s="511"/>
      <c r="D87" s="1026"/>
      <c r="E87" s="1043"/>
      <c r="F87" s="1043"/>
      <c r="G87" s="1043"/>
      <c r="H87" s="1043"/>
      <c r="I87" s="1043"/>
      <c r="J87" s="416"/>
      <c r="K87" s="1011" t="n">
        <f aca="false">SUM(D87:I87)</f>
        <v>0</v>
      </c>
      <c r="L87" s="973"/>
      <c r="M87" s="1011" t="n">
        <f aca="false">K87-K35</f>
        <v>0</v>
      </c>
    </row>
    <row r="88" s="325" customFormat="true" ht="15" hidden="false" customHeight="true" outlineLevel="1" collapsed="false">
      <c r="B88" s="882" t="s">
        <v>614</v>
      </c>
      <c r="C88" s="511"/>
      <c r="D88" s="1026"/>
      <c r="E88" s="1043"/>
      <c r="F88" s="1043"/>
      <c r="G88" s="1043"/>
      <c r="H88" s="1043"/>
      <c r="I88" s="1043"/>
      <c r="J88" s="1029"/>
      <c r="K88" s="1011" t="n">
        <f aca="false">SUM(D88:I88)</f>
        <v>0</v>
      </c>
      <c r="L88" s="973"/>
      <c r="M88" s="1011" t="n">
        <f aca="false">K88-K36</f>
        <v>0</v>
      </c>
    </row>
    <row r="89" s="325" customFormat="true" ht="15" hidden="false" customHeight="true" outlineLevel="1" collapsed="false">
      <c r="B89" s="882" t="s">
        <v>615</v>
      </c>
      <c r="C89" s="511"/>
      <c r="D89" s="1026"/>
      <c r="E89" s="1043"/>
      <c r="F89" s="1043"/>
      <c r="G89" s="1043"/>
      <c r="H89" s="1043"/>
      <c r="I89" s="1043"/>
      <c r="J89" s="416"/>
      <c r="K89" s="1011" t="n">
        <f aca="false">SUM(D89:I89)</f>
        <v>0</v>
      </c>
      <c r="L89" s="973"/>
      <c r="M89" s="1011" t="n">
        <f aca="false">K89-K37</f>
        <v>0</v>
      </c>
    </row>
    <row r="90" s="325" customFormat="true" ht="15" hidden="false" customHeight="true" outlineLevel="0" collapsed="false">
      <c r="B90" s="1044"/>
      <c r="C90" s="1058"/>
      <c r="D90" s="1015"/>
      <c r="E90" s="1015"/>
      <c r="F90" s="1015"/>
      <c r="G90" s="1015"/>
      <c r="H90" s="1015"/>
      <c r="I90" s="1015"/>
      <c r="J90" s="416"/>
      <c r="K90" s="1011"/>
      <c r="L90" s="973"/>
      <c r="M90" s="1011"/>
    </row>
    <row r="91" s="325" customFormat="true" ht="15" hidden="false" customHeight="true" outlineLevel="1" collapsed="false">
      <c r="B91" s="882" t="s">
        <v>616</v>
      </c>
      <c r="C91" s="511"/>
      <c r="D91" s="1026"/>
      <c r="E91" s="1043"/>
      <c r="F91" s="1043"/>
      <c r="G91" s="1043"/>
      <c r="H91" s="1043"/>
      <c r="I91" s="1043"/>
      <c r="J91" s="416"/>
      <c r="K91" s="1011" t="n">
        <f aca="false">SUM(D91:I91)</f>
        <v>0</v>
      </c>
      <c r="L91" s="973"/>
      <c r="M91" s="1011" t="n">
        <f aca="false">K91-SUM(K34:K37)</f>
        <v>0</v>
      </c>
    </row>
    <row r="92" s="325" customFormat="true" ht="15" hidden="false" customHeight="true" outlineLevel="0" collapsed="false">
      <c r="B92" s="21"/>
      <c r="C92" s="1029"/>
      <c r="D92" s="416"/>
      <c r="E92" s="416"/>
      <c r="F92" s="416"/>
      <c r="G92" s="416"/>
      <c r="H92" s="416"/>
      <c r="I92" s="416"/>
      <c r="J92" s="1029"/>
      <c r="K92" s="1011"/>
      <c r="L92" s="973"/>
      <c r="M92" s="1011"/>
    </row>
    <row r="93" s="325" customFormat="true" ht="15" hidden="false" customHeight="true" outlineLevel="1" collapsed="false">
      <c r="B93" s="1059" t="s">
        <v>617</v>
      </c>
      <c r="C93" s="1038"/>
      <c r="D93" s="1053"/>
      <c r="E93" s="1054"/>
      <c r="F93" s="1054"/>
      <c r="G93" s="1054"/>
      <c r="H93" s="1054"/>
      <c r="I93" s="1054"/>
      <c r="J93" s="416"/>
      <c r="K93" s="1011" t="n">
        <f aca="false">SUM(D93:I93)</f>
        <v>0</v>
      </c>
      <c r="L93" s="973"/>
      <c r="M93" s="1011" t="n">
        <f aca="false">K93-K34-K42</f>
        <v>0</v>
      </c>
    </row>
    <row r="94" s="325" customFormat="true" ht="15" hidden="false" customHeight="true" outlineLevel="1" collapsed="false">
      <c r="B94" s="1060" t="s">
        <v>618</v>
      </c>
      <c r="C94" s="1061"/>
      <c r="D94" s="1062"/>
      <c r="E94" s="1063"/>
      <c r="F94" s="1063"/>
      <c r="G94" s="1063"/>
      <c r="H94" s="1063"/>
      <c r="I94" s="1063"/>
      <c r="J94" s="416"/>
      <c r="K94" s="1011" t="n">
        <f aca="false">SUM(D94:I94)</f>
        <v>0</v>
      </c>
      <c r="L94" s="973"/>
      <c r="M94" s="1011" t="n">
        <f aca="false">K94-K34</f>
        <v>0</v>
      </c>
    </row>
    <row r="95" s="325" customFormat="true" ht="15" hidden="false" customHeight="true" outlineLevel="1" collapsed="false">
      <c r="B95" s="882" t="s">
        <v>619</v>
      </c>
      <c r="C95" s="1064"/>
      <c r="D95" s="1019"/>
      <c r="E95" s="1020"/>
      <c r="F95" s="1020"/>
      <c r="G95" s="1020"/>
      <c r="H95" s="1020"/>
      <c r="I95" s="1020"/>
      <c r="J95" s="416"/>
      <c r="K95" s="1011" t="n">
        <f aca="false">SUM(D95:I95)</f>
        <v>0</v>
      </c>
      <c r="L95" s="973"/>
      <c r="M95" s="1011" t="n">
        <f aca="false">K95-K42</f>
        <v>0</v>
      </c>
    </row>
    <row r="96" customFormat="false" ht="15" hidden="false" customHeight="true" outlineLevel="0" collapsed="false"/>
    <row r="97" customFormat="false" ht="15" hidden="false" customHeight="true" outlineLevel="0" collapsed="false"/>
    <row r="98" s="325" customFormat="true" ht="15" hidden="false" customHeight="true" outlineLevel="0" collapsed="false">
      <c r="B98" s="879" t="s">
        <v>620</v>
      </c>
      <c r="C98" s="892" t="s">
        <v>621</v>
      </c>
      <c r="D98" s="1065"/>
      <c r="E98" s="1065"/>
    </row>
    <row r="99" s="325" customFormat="true" ht="15" hidden="false" customHeight="true" outlineLevel="0" collapsed="false">
      <c r="B99" s="1066"/>
      <c r="C99" s="892" t="s">
        <v>622</v>
      </c>
      <c r="D99" s="1067"/>
      <c r="E99" s="1067"/>
    </row>
    <row r="100" s="325" customFormat="true" ht="15" hidden="false" customHeight="true" outlineLevel="0" collapsed="false">
      <c r="B100" s="1068" t="s">
        <v>623</v>
      </c>
      <c r="C100" s="416"/>
    </row>
    <row r="101" s="325" customFormat="true" ht="15" hidden="false" customHeight="true" outlineLevel="0" collapsed="false">
      <c r="B101" s="1068" t="s">
        <v>624</v>
      </c>
      <c r="C101" s="416"/>
    </row>
    <row r="102" s="325" customFormat="true" ht="15" hidden="false" customHeight="true" outlineLevel="0" collapsed="false">
      <c r="B102" s="1068" t="s">
        <v>625</v>
      </c>
      <c r="C102" s="416"/>
    </row>
    <row r="103" s="325" customFormat="true" ht="15" hidden="false" customHeight="true" outlineLevel="0" collapsed="false">
      <c r="B103" s="1068" t="s">
        <v>626</v>
      </c>
      <c r="C103" s="416"/>
    </row>
  </sheetData>
  <mergeCells count="26">
    <mergeCell ref="B1:I2"/>
    <mergeCell ref="M1:R1"/>
    <mergeCell ref="B3:B4"/>
    <mergeCell ref="C3:E4"/>
    <mergeCell ref="F3:G4"/>
    <mergeCell ref="H3:I4"/>
    <mergeCell ref="M3:M5"/>
    <mergeCell ref="O3:O4"/>
    <mergeCell ref="Q3:R4"/>
    <mergeCell ref="B6:C11"/>
    <mergeCell ref="M8:O8"/>
    <mergeCell ref="Q8:R8"/>
    <mergeCell ref="M9:O9"/>
    <mergeCell ref="Q9:R9"/>
    <mergeCell ref="M10:O10"/>
    <mergeCell ref="M11:O11"/>
    <mergeCell ref="M12:O12"/>
    <mergeCell ref="M13:O13"/>
    <mergeCell ref="K15:M15"/>
    <mergeCell ref="K44:M44"/>
    <mergeCell ref="B49:I49"/>
    <mergeCell ref="K49:M49"/>
    <mergeCell ref="O63:R63"/>
    <mergeCell ref="O73:R73"/>
    <mergeCell ref="D98:E98"/>
    <mergeCell ref="D99:E99"/>
  </mergeCells>
  <conditionalFormatting sqref="M45:M46">
    <cfRule type="cellIs" priority="2" operator="greaterThan" aboveAverage="0" equalAverage="0" bottom="0" percent="0" rank="0" text="" dxfId="29">
      <formula>0</formula>
    </cfRule>
  </conditionalFormatting>
  <conditionalFormatting sqref="M62">
    <cfRule type="cellIs" priority="3" operator="equal" aboveAverage="0" equalAverage="0" bottom="0" percent="0" rank="0" text="" dxfId="30">
      <formula>0</formula>
    </cfRule>
    <cfRule type="cellIs" priority="4" operator="greaterThan" aboveAverage="0" equalAverage="0" bottom="0" percent="0" rank="0" text="" dxfId="31">
      <formula>0</formula>
    </cfRule>
    <cfRule type="cellIs" priority="5" operator="lessThan" aboveAverage="0" equalAverage="0" bottom="0" percent="0" rank="0" text="" dxfId="12">
      <formula>0</formula>
    </cfRule>
  </conditionalFormatting>
  <conditionalFormatting sqref="M28:M31">
    <cfRule type="cellIs" priority="6" operator="greaterThan" aboveAverage="0" equalAverage="0" bottom="0" percent="0" rank="0" text="" dxfId="32">
      <formula>0</formula>
    </cfRule>
  </conditionalFormatting>
  <conditionalFormatting sqref="K28">
    <cfRule type="cellIs" priority="7" operator="greaterThan" aboveAverage="0" equalAverage="0" bottom="0" percent="0" rank="0" text="" dxfId="8">
      <formula>0</formula>
    </cfRule>
  </conditionalFormatting>
  <conditionalFormatting sqref="K80:K83">
    <cfRule type="cellIs" priority="8" operator="greaterThan" aboveAverage="0" equalAverage="0" bottom="0" percent="0" rank="0" text="" dxfId="33">
      <formula>0</formula>
    </cfRule>
  </conditionalFormatting>
  <conditionalFormatting sqref="K78:K79">
    <cfRule type="cellIs" priority="9" operator="greaterThan" aboveAverage="0" equalAverage="0" bottom="0" percent="0" rank="0" text="" dxfId="33">
      <formula>0</formula>
    </cfRule>
  </conditionalFormatting>
  <conditionalFormatting sqref="K77">
    <cfRule type="cellIs" priority="10" operator="greaterThan" aboveAverage="0" equalAverage="0" bottom="0" percent="0" rank="0" text="" dxfId="33">
      <formula>0</formula>
    </cfRule>
  </conditionalFormatting>
  <conditionalFormatting sqref="K75:K76">
    <cfRule type="cellIs" priority="11" operator="greaterThan" aboveAverage="0" equalAverage="0" bottom="0" percent="0" rank="0" text="" dxfId="33">
      <formula>0</formula>
    </cfRule>
  </conditionalFormatting>
  <conditionalFormatting sqref="M74">
    <cfRule type="cellIs" priority="12" operator="lessThan" aboveAverage="0" equalAverage="0" bottom="0" percent="0" rank="0" text="" dxfId="12">
      <formula>0</formula>
    </cfRule>
  </conditionalFormatting>
  <conditionalFormatting sqref="K74">
    <cfRule type="cellIs" priority="13" operator="lessThan" aboveAverage="0" equalAverage="0" bottom="0" percent="0" rank="0" text="" dxfId="12">
      <formula>0</formula>
    </cfRule>
  </conditionalFormatting>
  <conditionalFormatting sqref="M75:M83">
    <cfRule type="cellIs" priority="14" operator="equal" aboveAverage="0" equalAverage="0" bottom="0" percent="0" rank="0" text="" dxfId="30">
      <formula>0</formula>
    </cfRule>
    <cfRule type="cellIs" priority="15" operator="greaterThan" aboveAverage="0" equalAverage="0" bottom="0" percent="0" rank="0" text="" dxfId="31">
      <formula>0</formula>
    </cfRule>
    <cfRule type="cellIs" priority="16" operator="lessThan" aboveAverage="0" equalAverage="0" bottom="0" percent="0" rank="0" text="" dxfId="12">
      <formula>0</formula>
    </cfRule>
  </conditionalFormatting>
  <conditionalFormatting sqref="M87">
    <cfRule type="cellIs" priority="17" operator="equal" aboveAverage="0" equalAverage="0" bottom="0" percent="0" rank="0" text="" dxfId="30">
      <formula>0</formula>
    </cfRule>
    <cfRule type="cellIs" priority="18" operator="greaterThan" aboveAverage="0" equalAverage="0" bottom="0" percent="0" rank="0" text="" dxfId="31">
      <formula>0</formula>
    </cfRule>
    <cfRule type="cellIs" priority="19" operator="lessThan" aboveAverage="0" equalAverage="0" bottom="0" percent="0" rank="0" text="" dxfId="12">
      <formula>0</formula>
    </cfRule>
  </conditionalFormatting>
  <conditionalFormatting sqref="K87">
    <cfRule type="cellIs" priority="20" operator="greaterThan" aboveAverage="0" equalAverage="0" bottom="0" percent="0" rank="0" text="" dxfId="8">
      <formula>0</formula>
    </cfRule>
  </conditionalFormatting>
  <conditionalFormatting sqref="M88">
    <cfRule type="cellIs" priority="21" operator="equal" aboveAverage="0" equalAverage="0" bottom="0" percent="0" rank="0" text="" dxfId="30">
      <formula>0</formula>
    </cfRule>
    <cfRule type="cellIs" priority="22" operator="greaterThan" aboveAverage="0" equalAverage="0" bottom="0" percent="0" rank="0" text="" dxfId="31">
      <formula>0</formula>
    </cfRule>
    <cfRule type="cellIs" priority="23" operator="lessThan" aboveAverage="0" equalAverage="0" bottom="0" percent="0" rank="0" text="" dxfId="12">
      <formula>0</formula>
    </cfRule>
  </conditionalFormatting>
  <conditionalFormatting sqref="K88">
    <cfRule type="cellIs" priority="24" operator="greaterThan" aboveAverage="0" equalAverage="0" bottom="0" percent="0" rank="0" text="" dxfId="8">
      <formula>0</formula>
    </cfRule>
  </conditionalFormatting>
  <conditionalFormatting sqref="M89:M90">
    <cfRule type="cellIs" priority="25" operator="equal" aboveAverage="0" equalAverage="0" bottom="0" percent="0" rank="0" text="" dxfId="30">
      <formula>0</formula>
    </cfRule>
    <cfRule type="cellIs" priority="26" operator="greaterThan" aboveAverage="0" equalAverage="0" bottom="0" percent="0" rank="0" text="" dxfId="31">
      <formula>0</formula>
    </cfRule>
    <cfRule type="cellIs" priority="27" operator="lessThan" aboveAverage="0" equalAverage="0" bottom="0" percent="0" rank="0" text="" dxfId="12">
      <formula>0</formula>
    </cfRule>
  </conditionalFormatting>
  <conditionalFormatting sqref="K89:K90">
    <cfRule type="cellIs" priority="28" operator="greaterThan" aboveAverage="0" equalAverage="0" bottom="0" percent="0" rank="0" text="" dxfId="8">
      <formula>0</formula>
    </cfRule>
  </conditionalFormatting>
  <conditionalFormatting sqref="M35">
    <cfRule type="cellIs" priority="29" operator="greaterThan" aboveAverage="0" equalAverage="0" bottom="0" percent="0" rank="0" text="" dxfId="29">
      <formula>0</formula>
    </cfRule>
  </conditionalFormatting>
  <conditionalFormatting sqref="M86">
    <cfRule type="cellIs" priority="30" operator="equal" aboveAverage="0" equalAverage="0" bottom="0" percent="0" rank="0" text="" dxfId="30">
      <formula>0</formula>
    </cfRule>
    <cfRule type="cellIs" priority="31" operator="greaterThan" aboveAverage="0" equalAverage="0" bottom="0" percent="0" rank="0" text="" dxfId="31">
      <formula>0</formula>
    </cfRule>
    <cfRule type="cellIs" priority="32" operator="lessThan" aboveAverage="0" equalAverage="0" bottom="0" percent="0" rank="0" text="" dxfId="12">
      <formula>0</formula>
    </cfRule>
  </conditionalFormatting>
  <conditionalFormatting sqref="K86">
    <cfRule type="cellIs" priority="33" operator="greaterThan" aboveAverage="0" equalAverage="0" bottom="0" percent="0" rank="0" text="" dxfId="8">
      <formula>0</formula>
    </cfRule>
  </conditionalFormatting>
  <conditionalFormatting sqref="M85">
    <cfRule type="cellIs" priority="34" operator="lessThan" aboveAverage="0" equalAverage="0" bottom="0" percent="0" rank="0" text="" dxfId="12">
      <formula>0</formula>
    </cfRule>
  </conditionalFormatting>
  <conditionalFormatting sqref="M34 M36:M42">
    <cfRule type="cellIs" priority="35" operator="greaterThan" aboveAverage="0" equalAverage="0" bottom="0" percent="0" rank="0" text="" dxfId="29">
      <formula>0</formula>
    </cfRule>
  </conditionalFormatting>
  <conditionalFormatting sqref="M51:M61 M63:M73 M84 M91:M96">
    <cfRule type="cellIs" priority="36" operator="equal" aboveAverage="0" equalAverage="0" bottom="0" percent="0" rank="0" text="" dxfId="30">
      <formula>0</formula>
    </cfRule>
    <cfRule type="cellIs" priority="37" operator="greaterThan" aboveAverage="0" equalAverage="0" bottom="0" percent="0" rank="0" text="" dxfId="31">
      <formula>0</formula>
    </cfRule>
    <cfRule type="cellIs" priority="38" operator="lessThan" aboveAverage="0" equalAverage="0" bottom="0" percent="0" rank="0" text="" dxfId="12">
      <formula>0</formula>
    </cfRule>
  </conditionalFormatting>
  <conditionalFormatting sqref="M17:M25">
    <cfRule type="cellIs" priority="39" operator="greaterThan" aboveAverage="0" equalAverage="0" bottom="0" percent="0" rank="0" text="" dxfId="32">
      <formula>0</formula>
    </cfRule>
  </conditionalFormatting>
  <conditionalFormatting sqref="K85">
    <cfRule type="cellIs" priority="40" operator="lessThan" aboveAverage="0" equalAverage="0" bottom="0" percent="0" rank="0" text="" dxfId="12">
      <formula>0</formula>
    </cfRule>
  </conditionalFormatting>
  <conditionalFormatting sqref="K51:K54 K56:K57 K59:K60 K64:K66 K68:K70">
    <cfRule type="cellIs" priority="41" operator="greaterThan" aboveAverage="0" equalAverage="0" bottom="0" percent="0" rank="0" text="" dxfId="33">
      <formula>0</formula>
    </cfRule>
  </conditionalFormatting>
  <conditionalFormatting sqref="K17:K18 K20:K21 K23:K25 K34:K42 K45:K47 K91:K96 R62 R71:R72">
    <cfRule type="cellIs" priority="42" operator="greater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2022-03-04T09:25:26Z</dcterms:created>
  <dc:creator>Juriaan Jansen</dc:creator>
  <dc:description/>
  <dc:language>en-US</dc:language>
  <cp:lastModifiedBy/>
  <cp:lastPrinted>2026-07-21T10:52:16Z</cp:lastPrinted>
  <dcterms:modified xsi:type="dcterms:W3CDTF">2026-07-28T14:58:57Z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mplianceAssetId">
    <vt:lpwstr/>
  </property>
  <property fmtid="{D5CDD505-2E9C-101B-9397-08002B2CF9AE}" pid="3" name="ContentTypeId">
    <vt:lpwstr>0x01010087AAB0E9BA7F4247AD8C5E54CF10AABF</vt:lpwstr>
  </property>
  <property fmtid="{D5CDD505-2E9C-101B-9397-08002B2CF9AE}" pid="4" name="MediaServiceImageTags">
    <vt:lpwstr/>
  </property>
  <property fmtid="{D5CDD505-2E9C-101B-9397-08002B2CF9AE}" pid="5" name="TriggerFlowInfo">
    <vt:lpwstr/>
  </property>
  <property fmtid="{D5CDD505-2E9C-101B-9397-08002B2CF9AE}" pid="6" name="_ExtendedDescription">
    <vt:lpwstr/>
  </property>
</Properties>
</file>